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Read_Me" state="visible" r:id="rId4"/>
    <sheet sheetId="2" name="01_Control" state="visible" r:id="rId5"/>
    <sheet sheetId="3" name="02_Assumptions" state="visible" r:id="rId6"/>
    <sheet sheetId="4" name="03_Assumption_Map" state="visible" r:id="rId7"/>
    <sheet sheetId="5" name="04_Adoption" state="visible" r:id="rId8"/>
    <sheet sheetId="6" name="05_Disbursement_Activity" state="visible" r:id="rId9"/>
    <sheet sheetId="7" name="06_Pricing" state="visible" r:id="rId10"/>
    <sheet sheetId="8" name="07_Revenue" state="visible" r:id="rId11"/>
    <sheet sheetId="9" name="08_Cost_of_Sales" state="visible" r:id="rId12"/>
    <sheet sheetId="10" name="09_Operating_Expenses" state="visible" r:id="rId13"/>
    <sheet sheetId="11" name="10_Rural_Bank_View" state="visible" r:id="rId14"/>
    <sheet sheetId="12" name="11_ODTI_View" state="visible" r:id="rId15"/>
    <sheet sheetId="13" name="12_DevOps_View" state="visible" r:id="rId16"/>
    <sheet sheetId="14" name="13_Notification_Variant" state="visible" r:id="rId17"/>
    <sheet sheetId="15" name="14_Consolidated_View" state="visible" r:id="rId18"/>
    <sheet sheetId="16" name="15_Profit_and_Loss" state="visible" r:id="rId19"/>
    <sheet sheetId="17" name="16_Cash_Flow" state="visible" r:id="rId20"/>
    <sheet sheetId="18" name="17_Capital_Budgeting" state="visible" r:id="rId21"/>
    <sheet sheetId="19" name="18_Sensitivity" state="visible" r:id="rId22"/>
    <sheet sheetId="20" name="19_Scenarios" state="visible" r:id="rId23"/>
    <sheet sheetId="21" name="20_Dashboard" state="visible" r:id="rId24"/>
    <sheet sheetId="22" name="21_Checks" state="visible" r:id="rId25"/>
    <sheet sheetId="23" name="22_Source_Lineage" state="visible" r:id="rId26"/>
  </sheets>
  <calcPr calcId="171027" fullCalcOnLoad="1"/>
</workbook>
</file>

<file path=xl/sharedStrings.xml><?xml version="1.0" encoding="utf-8"?>
<sst xmlns="http://schemas.openxmlformats.org/spreadsheetml/2006/main" count="946" uniqueCount="292">
  <si>
    <t>Field</t>
  </si>
  <si>
    <t>Value</t>
  </si>
  <si>
    <t>Model title</t>
  </si>
  <si>
    <t>Rural Bank Digital Disbursement Starter Financial Model</t>
  </si>
  <si>
    <t>Offering</t>
  </si>
  <si>
    <t>OFR-RB-DISBURSEMENT-STARTER</t>
  </si>
  <si>
    <t>Artifact type</t>
  </si>
  <si>
    <t>Level 1 controlled-placeholder workbook</t>
  </si>
  <si>
    <t>Warning</t>
  </si>
  <si>
    <t>This workbook uses draft-authorized management candidates and controlled placeholders. It is not a forecast, approved budget, provider quote, institutional commitment, contract, investment representation, public claim, or factual operating result.</t>
  </si>
  <si>
    <t>Non-additive warning</t>
  </si>
  <si>
    <t>Stakeholder revenue figures are entity-level views and include internal transfers. They are not additive. Consolidated External Revenue counts external sponsor commercial inflows once.</t>
  </si>
  <si>
    <t>Maturity</t>
  </si>
  <si>
    <t>Draft internal Level 1 model</t>
  </si>
  <si>
    <t>Volume method</t>
  </si>
  <si>
    <t>Component-derived</t>
  </si>
  <si>
    <t>Blocked</t>
  </si>
  <si>
    <t>DSP-RB-002; NET-001; NET-002; TAX-001; ROY-001; FIN-001; investor returns; partner allocations</t>
  </si>
  <si>
    <t>Source documents</t>
  </si>
  <si>
    <t xml:space="preserve">docs/ASSUMPTIONS_REGISTER.md
docs/decisions/0005-select-second-modeled-offering.md
docs/decisions/0006-disbursement-starter-economic-treatment.md
docs/economics/offerings/rural-bank-disbursement-starter/commercial-model.md
docs/economics/offerings/rural-bank-disbursement-starter/provisional-input-register-level-1.md
docs/economics/offerings/rural-bank-disbursement-starter/offering-economics-level-1.md
docs/economics/offerings/rural-bank-disbursement-starter/five-year-revenue-projection-summary.md</t>
  </si>
  <si>
    <t>Control</t>
  </si>
  <si>
    <t>Allowed values</t>
  </si>
  <si>
    <t>Status</t>
  </si>
  <si>
    <t>Selected scenario</t>
  </si>
  <si>
    <t>Base</t>
  </si>
  <si>
    <t>Conservative; Base; Accelerated</t>
  </si>
  <si>
    <t>Draft internal default</t>
  </si>
  <si>
    <t>Model mode</t>
  </si>
  <si>
    <t>Level 1 controlled placeholder</t>
  </si>
  <si>
    <t>Draft internal authorization</t>
  </si>
  <si>
    <t>Include optional notification</t>
  </si>
  <si>
    <t>No</t>
  </si>
  <si>
    <t>Yes; No</t>
  </si>
  <si>
    <t>Optional variant separately shown</t>
  </si>
  <si>
    <t>Cost view</t>
  </si>
  <si>
    <t>Incremental Disbursement</t>
  </si>
  <si>
    <t>Incremental Disbursement; Full-Cost Stress Test</t>
  </si>
  <si>
    <t>Shared platform allocation deferred</t>
  </si>
  <si>
    <t>Independent aggregate disabled</t>
  </si>
  <si>
    <t>Workbook version</t>
  </si>
  <si>
    <t>Disbursement Level 1 draft</t>
  </si>
  <si>
    <t>Text</t>
  </si>
  <si>
    <t>Generated</t>
  </si>
  <si>
    <t>Provisional Input ID</t>
  </si>
  <si>
    <t>Assumption ID</t>
  </si>
  <si>
    <t>Description</t>
  </si>
  <si>
    <t>Conservative</t>
  </si>
  <si>
    <t>Accelerated</t>
  </si>
  <si>
    <t>Unit</t>
  </si>
  <si>
    <t>Authorization status</t>
  </si>
  <si>
    <t>DSP-PI-L1-001</t>
  </si>
  <si>
    <t>ADP-002</t>
  </si>
  <si>
    <t>Active banks</t>
  </si>
  <si>
    <t>See annual table</t>
  </si>
  <si>
    <t>DSP-PI-L1-002</t>
  </si>
  <si>
    <t>ADP-003</t>
  </si>
  <si>
    <t>Weighted active months</t>
  </si>
  <si>
    <t>Months</t>
  </si>
  <si>
    <t>DSP-PI-L1-003</t>
  </si>
  <si>
    <t>DSP-CUS-001</t>
  </si>
  <si>
    <t>Sponsors per active bank</t>
  </si>
  <si>
    <t>Sponsors per bank</t>
  </si>
  <si>
    <t>DSP-PI-L1-004</t>
  </si>
  <si>
    <t>DSP-CUS-002</t>
  </si>
  <si>
    <t>Batches per sponsor per month</t>
  </si>
  <si>
    <t>Batches</t>
  </si>
  <si>
    <t>DSP-PI-L1-005</t>
  </si>
  <si>
    <t>DSP-CUS-003</t>
  </si>
  <si>
    <t>Recipients per batch</t>
  </si>
  <si>
    <t>Recipients</t>
  </si>
  <si>
    <t>DSP-PI-L1-006</t>
  </si>
  <si>
    <t>DSP-VOL-002</t>
  </si>
  <si>
    <t>Completion rate</t>
  </si>
  <si>
    <t>Percent</t>
  </si>
  <si>
    <t>DSP-PI-L1-007</t>
  </si>
  <si>
    <t>DSP-VOL-001</t>
  </si>
  <si>
    <t>Successful disbursements per bank-month</t>
  </si>
  <si>
    <t>Derived</t>
  </si>
  <si>
    <t>Derived value</t>
  </si>
  <si>
    <t>DSP-PI-L1-008</t>
  </si>
  <si>
    <t>DSP-PRICE-001</t>
  </si>
  <si>
    <t>Sponsor onboarding fee</t>
  </si>
  <si>
    <t>PHP per sponsor</t>
  </si>
  <si>
    <t>DSP-PI-L1-009</t>
  </si>
  <si>
    <t>DSP-PRICE-002</t>
  </si>
  <si>
    <t>Sponsor service fee</t>
  </si>
  <si>
    <t>PHP per sponsor-month</t>
  </si>
  <si>
    <t>DSP-PI-L1-010</t>
  </si>
  <si>
    <t>DSP-PRICE-003</t>
  </si>
  <si>
    <t>Recipient disbursement fee</t>
  </si>
  <si>
    <t>PHP per successful disbursement</t>
  </si>
  <si>
    <t>DSP-PI-L1-011</t>
  </si>
  <si>
    <t>DSP-RB-001</t>
  </si>
  <si>
    <t>Rural Bank retention</t>
  </si>
  <si>
    <t>DSP-PI-L1-012</t>
  </si>
  <si>
    <t>DSP-ODTI-001</t>
  </si>
  <si>
    <t>ODTI support cost</t>
  </si>
  <si>
    <t>PHP per active bank-month</t>
  </si>
  <si>
    <t>DSP-PI-L1-013</t>
  </si>
  <si>
    <t>DSP-ODTI-002</t>
  </si>
  <si>
    <t>ODTI implementation cost</t>
  </si>
  <si>
    <t>PHP per newly active bank</t>
  </si>
  <si>
    <t>DSP-PI-L1-014</t>
  </si>
  <si>
    <t>OPS-003</t>
  </si>
  <si>
    <t>DevOps direct cost</t>
  </si>
  <si>
    <t>DSP-PI-L1-015</t>
  </si>
  <si>
    <t>CLD-001</t>
  </si>
  <si>
    <t>Cloud cost</t>
  </si>
  <si>
    <t>DSP-PI-L1-016</t>
  </si>
  <si>
    <t>RISK-002</t>
  </si>
  <si>
    <t>Non-collection rate</t>
  </si>
  <si>
    <t>DSP-PI-L1-017</t>
  </si>
  <si>
    <t>OPS-001</t>
  </si>
  <si>
    <t>DevOps setup fee</t>
  </si>
  <si>
    <t>DSP-PI-L1-018</t>
  </si>
  <si>
    <t>OPS-002</t>
  </si>
  <si>
    <t>DevOps recurring fee</t>
  </si>
  <si>
    <t>DSP-PI-L1-019</t>
  </si>
  <si>
    <t>DSP-ATT-001</t>
  </si>
  <si>
    <t>Notification attachment rate</t>
  </si>
  <si>
    <t>Percent of successful disbursements</t>
  </si>
  <si>
    <t>DSP-PI-L1-020</t>
  </si>
  <si>
    <t>DSP-VAS-001</t>
  </si>
  <si>
    <t>Notification customer price</t>
  </si>
  <si>
    <t>PHP per attached notification</t>
  </si>
  <si>
    <t>DSP-PI-L1-021</t>
  </si>
  <si>
    <t>DSP-CST-001</t>
  </si>
  <si>
    <t>Notification wholesale price</t>
  </si>
  <si>
    <t>DSP-PI-L1-022</t>
  </si>
  <si>
    <t>SMS-001</t>
  </si>
  <si>
    <t>Notification delivery success rate</t>
  </si>
  <si>
    <t>DSP-RB-002</t>
  </si>
  <si>
    <t>Rural Bank internal support cost</t>
  </si>
  <si>
    <t>Open</t>
  </si>
  <si>
    <t>NET-001</t>
  </si>
  <si>
    <t>NetBank or infrastructure fee basis</t>
  </si>
  <si>
    <t>TAX-001</t>
  </si>
  <si>
    <t>Tax and withholding treatment</t>
  </si>
  <si>
    <t>ROY-001</t>
  </si>
  <si>
    <t>3neti royalty or license basis</t>
  </si>
  <si>
    <t>FIN-001</t>
  </si>
  <si>
    <t>Discount rate or financing basis</t>
  </si>
  <si>
    <t>Used by</t>
  </si>
  <si>
    <t>Formula / Role</t>
  </si>
  <si>
    <t>Output tabs</t>
  </si>
  <si>
    <t>Primitive input</t>
  </si>
  <si>
    <t>05_Disbursement_Activity</t>
  </si>
  <si>
    <t>Draft authorized</t>
  </si>
  <si>
    <t>Annual successful disbursements</t>
  </si>
  <si>
    <t>DSP-CUS-001 x DSP-CUS-002 x DSP-CUS-003 x DSP-VOL-002</t>
  </si>
  <si>
    <t>05_Disbursement_Activity; 07_Revenue</t>
  </si>
  <si>
    <t>ADP-002 + ADP-003 + DSP-VOL-001</t>
  </si>
  <si>
    <t>ADP-002 x ADP-003 x DSP-VOL-001</t>
  </si>
  <si>
    <t>DSP-PRICE-*</t>
  </si>
  <si>
    <t>Core revenue</t>
  </si>
  <si>
    <t>Sponsor onboarding + service + recipient disbursement fees</t>
  </si>
  <si>
    <t>07_Revenue</t>
  </si>
  <si>
    <t>Scenario</t>
  </si>
  <si>
    <t>Year</t>
  </si>
  <si>
    <t>Newly active banks</t>
  </si>
  <si>
    <t>Active sponsors</t>
  </si>
  <si>
    <t>New sponsor relationships</t>
  </si>
  <si>
    <t>Year 1</t>
  </si>
  <si>
    <t>Year 2</t>
  </si>
  <si>
    <t>Year 3</t>
  </si>
  <si>
    <t>Year 4</t>
  </si>
  <si>
    <t>Year 5</t>
  </si>
  <si>
    <t>Formula note</t>
  </si>
  <si>
    <t>Recipient fee</t>
  </si>
  <si>
    <t>ODTI transaction amount</t>
  </si>
  <si>
    <t>Sponsor onboarding</t>
  </si>
  <si>
    <t>Sponsor service</t>
  </si>
  <si>
    <t>Recipient disbursement</t>
  </si>
  <si>
    <t>Core external revenue</t>
  </si>
  <si>
    <t>Collected core revenue</t>
  </si>
  <si>
    <t>Sponsor commercial fees only; pass-through funding excluded</t>
  </si>
  <si>
    <t>Bad debt / non-collection</t>
  </si>
  <si>
    <t>ODTI cost</t>
  </si>
  <si>
    <t>Cloud external outflow</t>
  </si>
  <si>
    <t>Notification wholesale cost</t>
  </si>
  <si>
    <t>Rural Bank Contribution Before Internal Bank Disbursement-Support Cost</t>
  </si>
  <si>
    <t>Optional notification margin</t>
  </si>
  <si>
    <t>Full-cost stress note</t>
  </si>
  <si>
    <t>DSP-RB-002 blocked; modernization costs not treated as final net income</t>
  </si>
  <si>
    <t>ODTI revenue</t>
  </si>
  <si>
    <t>ODTI implementation/support cost</t>
  </si>
  <si>
    <t>ODTI Contribution: Pre-Tax, Pre-Royalty, NetBank-Fee-Blocked</t>
  </si>
  <si>
    <t>DevOps revenue</t>
  </si>
  <si>
    <t>DevOps Contribution Before Tax And Overhead</t>
  </si>
  <si>
    <t>Cloud boundary</t>
  </si>
  <si>
    <t>Cloud remains bank-owned external outflow</t>
  </si>
  <si>
    <t>Attached notifications</t>
  </si>
  <si>
    <t>Notification customer revenue</t>
  </si>
  <si>
    <t>Collected notification revenue</t>
  </si>
  <si>
    <t>Wholesale provider cost</t>
  </si>
  <si>
    <t>Notification margin</t>
  </si>
  <si>
    <t>Delivery success</t>
  </si>
  <si>
    <t>Consolidated Contribution Before Blocked Items</t>
  </si>
  <si>
    <t>NET-001; TAX-001; ROY-001; FIN-001; DSP-RB-002</t>
  </si>
  <si>
    <t>Revenue</t>
  </si>
  <si>
    <t>Cost of sales / direct costs</t>
  </si>
  <si>
    <t>Operating contribution</t>
  </si>
  <si>
    <t>Tax</t>
  </si>
  <si>
    <t>Net income</t>
  </si>
  <si>
    <t>Collected core commercial fees</t>
  </si>
  <si>
    <t>Known cash outflows before blocked items</t>
  </si>
  <si>
    <t>Draft cash contribution</t>
  </si>
  <si>
    <t>Timing caveat</t>
  </si>
  <si>
    <t>COL timing not separately governed for Disbursement</t>
  </si>
  <si>
    <t>Metric</t>
  </si>
  <si>
    <t>Reason</t>
  </si>
  <si>
    <t>NPV</t>
  </si>
  <si>
    <t>FIN-001 and governed cash-flow basis are missing</t>
  </si>
  <si>
    <t>IRR</t>
  </si>
  <si>
    <t>FIN-001 and valid investment cash-flow series are missing</t>
  </si>
  <si>
    <t>Discounted payback</t>
  </si>
  <si>
    <t>FIN-001 missing</t>
  </si>
  <si>
    <t>Investor return</t>
  </si>
  <si>
    <t>Excluded</t>
  </si>
  <si>
    <t>No investor-return mechanism in Level 1</t>
  </si>
  <si>
    <t>Sensitivity</t>
  </si>
  <si>
    <t>Notes</t>
  </si>
  <si>
    <t>Active banks vs sponsors per bank</t>
  </si>
  <si>
    <t>Deferred</t>
  </si>
  <si>
    <t>Use formula-backed sensitivity after Level 1 is accepted</t>
  </si>
  <si>
    <t>Sponsor service fee vs active sponsors</t>
  </si>
  <si>
    <t>Candidate values visible in assumptions</t>
  </si>
  <si>
    <t>Recipient fee vs disbursement volume</t>
  </si>
  <si>
    <t>Core driver visible in activity and revenue sheets</t>
  </si>
  <si>
    <t>ODTI support cost vs active banks</t>
  </si>
  <si>
    <t>ODTI remains weak in Conservative/Base</t>
  </si>
  <si>
    <t>Year 1 active banks</t>
  </si>
  <si>
    <t>Year 5 active banks</t>
  </si>
  <si>
    <t>Year 1 active sponsors</t>
  </si>
  <si>
    <t>Year 5 active sponsors</t>
  </si>
  <si>
    <t>Year 1 disbursements</t>
  </si>
  <si>
    <t>Year 5 disbursements</t>
  </si>
  <si>
    <t>Year 5 core external revenue</t>
  </si>
  <si>
    <t>Year 5 consolidated contribution</t>
  </si>
  <si>
    <t>Model</t>
  </si>
  <si>
    <t>Disbursement Level 1 controlled placeholder</t>
  </si>
  <si>
    <t>Base Year 5 core external revenue</t>
  </si>
  <si>
    <t>Gross sponsor commercial fees</t>
  </si>
  <si>
    <t>Base Year 5 consolidated contribution</t>
  </si>
  <si>
    <t>Before blocked items</t>
  </si>
  <si>
    <t>Accelerated Year 5 core external revenue</t>
  </si>
  <si>
    <t>Accelerated Year 5 consolidated contribution</t>
  </si>
  <si>
    <t>Blocked count</t>
  </si>
  <si>
    <t>DSP-RB-002, NET-001, NET-002, TAX-001, ROY-001, FIN-001, investor, partner</t>
  </si>
  <si>
    <t>Check</t>
  </si>
  <si>
    <t>All planned sheets exist</t>
  </si>
  <si>
    <t>OK</t>
  </si>
  <si>
    <t>Validated by --validate-level-1-xlsx.</t>
  </si>
  <si>
    <t>Draft authorization warning visible</t>
  </si>
  <si>
    <t>Read Me includes controlled-placeholder warning.</t>
  </si>
  <si>
    <t>DSP-VOL-001 derived</t>
  </si>
  <si>
    <t>Component-derived by scenario.</t>
  </si>
  <si>
    <t>Pass-through funding excluded from revenue</t>
  </si>
  <si>
    <t>Funding not included in revenue sheets.</t>
  </si>
  <si>
    <t>Core and optional notification separated</t>
  </si>
  <si>
    <t>Notification on separate variant sheet.</t>
  </si>
  <si>
    <t>Stakeholder revenue non-additive warning</t>
  </si>
  <si>
    <t>Read Me warning present.</t>
  </si>
  <si>
    <t>Blocked outputs visible</t>
  </si>
  <si>
    <t>NetBank, tax, royalty, FIN, investor, partner remain blocked/excluded.</t>
  </si>
  <si>
    <t>Formula cells present</t>
  </si>
  <si>
    <t>Workbook includes formula-backed derived rows with cached results.</t>
  </si>
  <si>
    <t>Workbook item</t>
  </si>
  <si>
    <t>Assumption IDs</t>
  </si>
  <si>
    <t>Source document</t>
  </si>
  <si>
    <t>Provisional Input IDs</t>
  </si>
  <si>
    <t>Draft inputs</t>
  </si>
  <si>
    <t>ADP-002; ADP-003; DSP-CUS-001; DSP-CUS-002; DSP-CUS-003; DSP-VOL-002; DSP-VOL-001; DSP-PRICE-001; DSP-PRICE-002; DSP-PRICE-003; DSP-RB-001; DSP-ODTI-001; DSP-ODTI-002; OPS-003; CLD-001; RISK-002; OPS-001; OPS-002; DSP-ATT-001; DSP-VAS-001; DSP-CST-001; SMS-001</t>
  </si>
  <si>
    <t>provisional-input-register-level-1.md</t>
  </si>
  <si>
    <t>DSP-PI-L1-001; DSP-PI-L1-002; DSP-PI-L1-003; DSP-PI-L1-004; DSP-PI-L1-005; DSP-PI-L1-006; DSP-PI-L1-007; DSP-PI-L1-008; DSP-PI-L1-009; DSP-PI-L1-010; DSP-PI-L1-011; DSP-PI-L1-012; DSP-PI-L1-013; DSP-PI-L1-014; DSP-PI-L1-015; DSP-PI-L1-016; DSP-PI-L1-017; DSP-PI-L1-018; DSP-PI-L1-019; DSP-PI-L1-020; DSP-PI-L1-021; DSP-PI-L1-022</t>
  </si>
  <si>
    <t>Activity</t>
  </si>
  <si>
    <t>ADP-002; ADP-003; DSP-CUS-001; DSP-CUS-002; DSP-CUS-003; DSP-VOL-002; DSP-VOL-001</t>
  </si>
  <si>
    <t>offering-economics-level-1.md</t>
  </si>
  <si>
    <t>DSP-PI-L1-001 through DSP-PI-L1-007</t>
  </si>
  <si>
    <t>Pricing</t>
  </si>
  <si>
    <t>DSP-PRICE-001; DSP-PRICE-002; DSP-PRICE-003; DSP-RB-001</t>
  </si>
  <si>
    <t>DSP-PI-L1-008 through DSP-PI-L1-011</t>
  </si>
  <si>
    <t>ODTI</t>
  </si>
  <si>
    <t>DSP-ODTI-001; DSP-ODTI-002</t>
  </si>
  <si>
    <t>DSP-PI-L1-012; DSP-PI-L1-013</t>
  </si>
  <si>
    <t>DevOps</t>
  </si>
  <si>
    <t>OPS-001; OPS-002; OPS-003; CLD-001</t>
  </si>
  <si>
    <t>DSP-PI-L1-014; DSP-PI-L1-015; DSP-PI-L1-017; DSP-PI-L1-018</t>
  </si>
  <si>
    <t>Optional notification</t>
  </si>
  <si>
    <t>DSP-ATT-001; DSP-VAS-001; DSP-CST-001; SMS-001</t>
  </si>
  <si>
    <t>DSP-PI-L1-019 through DSP-PI-L1-022</t>
  </si>
  <si>
    <t>DSP-RB-002; NET-001; NET-002; TAX-001; ROY-001; FIN-001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</si>
</sst>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2" customWidth="1"/>
    <col min="2" max="2" width="48" customWidth="1"/>
  </cols>
  <sheetData>
    <row r="1" spans="1:2" s="1" customFormat="1" x14ac:dyDescent="0.25">
      <c r="A1" s="2" t="s">
        <v>0</v>
      </c>
      <c r="B1" s="2" t="s">
        <v>1</v>
      </c>
    </row>
    <row r="2" spans="1:2" x14ac:dyDescent="0.25">
      <c r="A2" s="3" t="s">
        <v>2</v>
      </c>
      <c r="B2" s="3" t="s">
        <v>3</v>
      </c>
    </row>
    <row r="3" spans="1:2" x14ac:dyDescent="0.25">
      <c r="A3" s="3" t="s">
        <v>4</v>
      </c>
      <c r="B3" s="3" t="s">
        <v>5</v>
      </c>
    </row>
    <row r="4" spans="1:2" x14ac:dyDescent="0.25">
      <c r="A4" s="3" t="s">
        <v>6</v>
      </c>
      <c r="B4" s="3" t="s">
        <v>7</v>
      </c>
    </row>
    <row r="5" spans="1:2" x14ac:dyDescent="0.25">
      <c r="A5" s="3" t="s">
        <v>8</v>
      </c>
      <c r="B5" s="3" t="s">
        <v>9</v>
      </c>
    </row>
    <row r="6" spans="1:2" x14ac:dyDescent="0.25">
      <c r="A6" s="3" t="s">
        <v>10</v>
      </c>
      <c r="B6" s="3" t="s">
        <v>11</v>
      </c>
    </row>
    <row r="7" spans="1:2" x14ac:dyDescent="0.25">
      <c r="A7" s="3" t="s">
        <v>12</v>
      </c>
      <c r="B7" s="3" t="s">
        <v>13</v>
      </c>
    </row>
    <row r="8" spans="1:2" x14ac:dyDescent="0.25">
      <c r="A8" s="3" t="s">
        <v>14</v>
      </c>
      <c r="B8" s="3" t="s">
        <v>15</v>
      </c>
    </row>
    <row r="9" spans="1:2" x14ac:dyDescent="0.25">
      <c r="A9" s="3" t="s">
        <v>16</v>
      </c>
      <c r="B9" s="3" t="s">
        <v>17</v>
      </c>
    </row>
    <row r="10" spans="1:2" x14ac:dyDescent="0.25">
      <c r="A10" s="3" t="s">
        <v>18</v>
      </c>
      <c r="B10" s="3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1" customWidth="1"/>
    <col min="2" max="2" width="32" customWidth="1"/>
    <col min="3" max="3" width="48" customWidth="1"/>
    <col min="4" max="4" width="37" customWidth="1"/>
  </cols>
  <sheetData>
    <row r="1" spans="1:4" s="1" customFormat="1" x14ac:dyDescent="0.25">
      <c r="A1" s="2" t="s">
        <v>20</v>
      </c>
      <c r="B1" s="2" t="s">
        <v>1</v>
      </c>
      <c r="C1" s="2" t="s">
        <v>21</v>
      </c>
      <c r="D1" s="2" t="s">
        <v>22</v>
      </c>
    </row>
    <row r="2" spans="1:4" x14ac:dyDescent="0.25">
      <c r="A2" s="3" t="s">
        <v>23</v>
      </c>
      <c r="B2" s="3" t="s">
        <v>24</v>
      </c>
      <c r="C2" s="3" t="s">
        <v>25</v>
      </c>
      <c r="D2" s="3" t="s">
        <v>26</v>
      </c>
    </row>
    <row r="3" spans="1:4" x14ac:dyDescent="0.25">
      <c r="A3" s="3" t="s">
        <v>27</v>
      </c>
      <c r="B3" s="3" t="s">
        <v>28</v>
      </c>
      <c r="C3" s="3" t="s">
        <v>28</v>
      </c>
      <c r="D3" s="3" t="s">
        <v>29</v>
      </c>
    </row>
    <row r="4" spans="1:4" x14ac:dyDescent="0.25">
      <c r="A4" s="3" t="s">
        <v>30</v>
      </c>
      <c r="B4" s="3" t="s">
        <v>31</v>
      </c>
      <c r="C4" s="3" t="s">
        <v>32</v>
      </c>
      <c r="D4" s="3" t="s">
        <v>33</v>
      </c>
    </row>
    <row r="5" spans="1:4" x14ac:dyDescent="0.25">
      <c r="A5" s="3" t="s">
        <v>34</v>
      </c>
      <c r="B5" s="3" t="s">
        <v>35</v>
      </c>
      <c r="C5" s="3" t="s">
        <v>36</v>
      </c>
      <c r="D5" s="3" t="s">
        <v>37</v>
      </c>
    </row>
    <row r="6" spans="1:4" x14ac:dyDescent="0.25">
      <c r="A6" s="3" t="s">
        <v>14</v>
      </c>
      <c r="B6" s="3" t="s">
        <v>15</v>
      </c>
      <c r="C6" s="3" t="s">
        <v>15</v>
      </c>
      <c r="D6" s="3" t="s">
        <v>38</v>
      </c>
    </row>
    <row r="7" spans="1:4" x14ac:dyDescent="0.25">
      <c r="A7" s="3" t="s">
        <v>39</v>
      </c>
      <c r="B7" s="3" t="s">
        <v>40</v>
      </c>
      <c r="C7" s="3" t="s">
        <v>41</v>
      </c>
      <c r="D7" s="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2" customWidth="1"/>
    <col min="2" max="2" width="15" customWidth="1"/>
    <col min="3" max="3" width="41" customWidth="1"/>
    <col min="4" max="6" width="18" customWidth="1"/>
    <col min="7" max="7" width="37" customWidth="1"/>
    <col min="8" max="8" width="30" customWidth="1"/>
  </cols>
  <sheetData>
    <row r="1" spans="1:8" s="1" customFormat="1" x14ac:dyDescent="0.25">
      <c r="A1" s="2" t="s">
        <v>43</v>
      </c>
      <c r="B1" s="2" t="s">
        <v>44</v>
      </c>
      <c r="C1" s="2" t="s">
        <v>45</v>
      </c>
      <c r="D1" s="2" t="s">
        <v>46</v>
      </c>
      <c r="E1" s="2" t="s">
        <v>24</v>
      </c>
      <c r="F1" s="2" t="s">
        <v>47</v>
      </c>
      <c r="G1" s="2" t="s">
        <v>48</v>
      </c>
      <c r="H1" s="2" t="s">
        <v>49</v>
      </c>
    </row>
    <row r="2" spans="1:8" x14ac:dyDescent="0.25">
      <c r="A2" s="3" t="s">
        <v>50</v>
      </c>
      <c r="B2" s="3" t="s">
        <v>51</v>
      </c>
      <c r="C2" s="3" t="s">
        <v>52</v>
      </c>
      <c r="D2" s="3" t="s">
        <v>53</v>
      </c>
      <c r="E2" s="3" t="s">
        <v>53</v>
      </c>
      <c r="F2" s="3" t="s">
        <v>53</v>
      </c>
      <c r="G2" s="3" t="s">
        <v>52</v>
      </c>
      <c r="H2" s="3" t="s">
        <v>29</v>
      </c>
    </row>
    <row r="3" spans="1:8" x14ac:dyDescent="0.25">
      <c r="A3" s="3" t="s">
        <v>54</v>
      </c>
      <c r="B3" s="3" t="s">
        <v>55</v>
      </c>
      <c r="C3" s="3" t="s">
        <v>56</v>
      </c>
      <c r="D3" s="3" t="s">
        <v>53</v>
      </c>
      <c r="E3" s="3" t="s">
        <v>53</v>
      </c>
      <c r="F3" s="3" t="s">
        <v>53</v>
      </c>
      <c r="G3" s="3" t="s">
        <v>57</v>
      </c>
      <c r="H3" s="3" t="s">
        <v>29</v>
      </c>
    </row>
    <row r="4" spans="1:8" x14ac:dyDescent="0.25">
      <c r="A4" s="3" t="s">
        <v>58</v>
      </c>
      <c r="B4" s="3" t="s">
        <v>59</v>
      </c>
      <c r="C4" s="3" t="s">
        <v>60</v>
      </c>
      <c r="D4" s="3">
        <v>2</v>
      </c>
      <c r="E4" s="3">
        <v>3</v>
      </c>
      <c r="F4" s="3">
        <v>5</v>
      </c>
      <c r="G4" s="3" t="s">
        <v>61</v>
      </c>
      <c r="H4" s="3" t="s">
        <v>29</v>
      </c>
    </row>
    <row r="5" spans="1:8" x14ac:dyDescent="0.25">
      <c r="A5" s="3" t="s">
        <v>62</v>
      </c>
      <c r="B5" s="3" t="s">
        <v>63</v>
      </c>
      <c r="C5" s="3" t="s">
        <v>64</v>
      </c>
      <c r="D5" s="3">
        <v>1</v>
      </c>
      <c r="E5" s="3">
        <v>1.5</v>
      </c>
      <c r="F5" s="3">
        <v>2</v>
      </c>
      <c r="G5" s="3" t="s">
        <v>65</v>
      </c>
      <c r="H5" s="3" t="s">
        <v>29</v>
      </c>
    </row>
    <row r="6" spans="1:8" x14ac:dyDescent="0.25">
      <c r="A6" s="3" t="s">
        <v>66</v>
      </c>
      <c r="B6" s="3" t="s">
        <v>67</v>
      </c>
      <c r="C6" s="3" t="s">
        <v>68</v>
      </c>
      <c r="D6" s="3">
        <v>75</v>
      </c>
      <c r="E6" s="3">
        <v>150</v>
      </c>
      <c r="F6" s="3">
        <v>250</v>
      </c>
      <c r="G6" s="3" t="s">
        <v>69</v>
      </c>
      <c r="H6" s="3" t="s">
        <v>29</v>
      </c>
    </row>
    <row r="7" spans="1:8" x14ac:dyDescent="0.25">
      <c r="A7" s="3" t="s">
        <v>70</v>
      </c>
      <c r="B7" s="3" t="s">
        <v>71</v>
      </c>
      <c r="C7" s="3" t="s">
        <v>72</v>
      </c>
      <c r="D7" s="3">
        <v>0.92</v>
      </c>
      <c r="E7" s="3">
        <v>0.96</v>
      </c>
      <c r="F7" s="3">
        <v>0.98</v>
      </c>
      <c r="G7" s="3" t="s">
        <v>73</v>
      </c>
      <c r="H7" s="3" t="s">
        <v>29</v>
      </c>
    </row>
    <row r="8" spans="1:8" x14ac:dyDescent="0.25">
      <c r="A8" s="3" t="s">
        <v>74</v>
      </c>
      <c r="B8" s="3" t="s">
        <v>75</v>
      </c>
      <c r="C8" s="3" t="s">
        <v>76</v>
      </c>
      <c r="D8" s="3" t="s">
        <v>77</v>
      </c>
      <c r="E8" s="3" t="s">
        <v>77</v>
      </c>
      <c r="F8" s="3" t="s">
        <v>77</v>
      </c>
      <c r="G8" s="3" t="s">
        <v>78</v>
      </c>
      <c r="H8" s="3" t="s">
        <v>29</v>
      </c>
    </row>
    <row r="9" spans="1:8" x14ac:dyDescent="0.25">
      <c r="A9" s="3" t="s">
        <v>79</v>
      </c>
      <c r="B9" s="3" t="s">
        <v>80</v>
      </c>
      <c r="C9" s="3" t="s">
        <v>81</v>
      </c>
      <c r="D9" s="3">
        <v>2500</v>
      </c>
      <c r="E9" s="3">
        <v>5000</v>
      </c>
      <c r="F9" s="3">
        <v>7500</v>
      </c>
      <c r="G9" s="3" t="s">
        <v>82</v>
      </c>
      <c r="H9" s="3" t="s">
        <v>29</v>
      </c>
    </row>
    <row r="10" spans="1:8" x14ac:dyDescent="0.25">
      <c r="A10" s="3" t="s">
        <v>83</v>
      </c>
      <c r="B10" s="3" t="s">
        <v>84</v>
      </c>
      <c r="C10" s="3" t="s">
        <v>85</v>
      </c>
      <c r="D10" s="3">
        <v>1000</v>
      </c>
      <c r="E10" s="3">
        <v>2000</v>
      </c>
      <c r="F10" s="3">
        <v>3000</v>
      </c>
      <c r="G10" s="3" t="s">
        <v>86</v>
      </c>
      <c r="H10" s="3" t="s">
        <v>29</v>
      </c>
    </row>
    <row r="11" spans="1:8" x14ac:dyDescent="0.25">
      <c r="A11" s="3" t="s">
        <v>87</v>
      </c>
      <c r="B11" s="3" t="s">
        <v>88</v>
      </c>
      <c r="C11" s="3" t="s">
        <v>89</v>
      </c>
      <c r="D11" s="3">
        <v>1.5</v>
      </c>
      <c r="E11" s="3">
        <v>2</v>
      </c>
      <c r="F11" s="3">
        <v>2.5</v>
      </c>
      <c r="G11" s="3" t="s">
        <v>90</v>
      </c>
      <c r="H11" s="3" t="s">
        <v>29</v>
      </c>
    </row>
    <row r="12" spans="1:8" x14ac:dyDescent="0.25">
      <c r="A12" s="3" t="s">
        <v>91</v>
      </c>
      <c r="B12" s="3" t="s">
        <v>92</v>
      </c>
      <c r="C12" s="3" t="s">
        <v>93</v>
      </c>
      <c r="D12" s="3">
        <v>0.5</v>
      </c>
      <c r="E12" s="3">
        <v>0.75</v>
      </c>
      <c r="F12" s="3">
        <v>1</v>
      </c>
      <c r="G12" s="3" t="s">
        <v>90</v>
      </c>
      <c r="H12" s="3" t="s">
        <v>29</v>
      </c>
    </row>
    <row r="13" spans="1:8" x14ac:dyDescent="0.25">
      <c r="A13" s="3" t="s">
        <v>94</v>
      </c>
      <c r="B13" s="3" t="s">
        <v>95</v>
      </c>
      <c r="C13" s="3" t="s">
        <v>96</v>
      </c>
      <c r="D13" s="3">
        <v>5000</v>
      </c>
      <c r="E13" s="3">
        <v>7000</v>
      </c>
      <c r="F13" s="3">
        <v>9000</v>
      </c>
      <c r="G13" s="3" t="s">
        <v>97</v>
      </c>
      <c r="H13" s="3" t="s">
        <v>29</v>
      </c>
    </row>
    <row r="14" spans="1:8" x14ac:dyDescent="0.25">
      <c r="A14" s="3" t="s">
        <v>98</v>
      </c>
      <c r="B14" s="3" t="s">
        <v>99</v>
      </c>
      <c r="C14" s="3" t="s">
        <v>100</v>
      </c>
      <c r="D14" s="3">
        <v>15000</v>
      </c>
      <c r="E14" s="3">
        <v>20000</v>
      </c>
      <c r="F14" s="3">
        <v>25000</v>
      </c>
      <c r="G14" s="3" t="s">
        <v>101</v>
      </c>
      <c r="H14" s="3" t="s">
        <v>29</v>
      </c>
    </row>
    <row r="15" spans="1:8" x14ac:dyDescent="0.25">
      <c r="A15" s="3" t="s">
        <v>102</v>
      </c>
      <c r="B15" s="3" t="s">
        <v>103</v>
      </c>
      <c r="C15" s="3" t="s">
        <v>104</v>
      </c>
      <c r="D15" s="3">
        <v>6000</v>
      </c>
      <c r="E15" s="3">
        <v>5000</v>
      </c>
      <c r="F15" s="3">
        <v>4500</v>
      </c>
      <c r="G15" s="3" t="s">
        <v>97</v>
      </c>
      <c r="H15" s="3" t="s">
        <v>29</v>
      </c>
    </row>
    <row r="16" spans="1:8" x14ac:dyDescent="0.25">
      <c r="A16" s="3" t="s">
        <v>105</v>
      </c>
      <c r="B16" s="3" t="s">
        <v>106</v>
      </c>
      <c r="C16" s="3" t="s">
        <v>107</v>
      </c>
      <c r="D16" s="3">
        <v>3000</v>
      </c>
      <c r="E16" s="3">
        <v>3000</v>
      </c>
      <c r="F16" s="3">
        <v>3500</v>
      </c>
      <c r="G16" s="3" t="s">
        <v>97</v>
      </c>
      <c r="H16" s="3" t="s">
        <v>29</v>
      </c>
    </row>
    <row r="17" spans="1:8" x14ac:dyDescent="0.25">
      <c r="A17" s="3" t="s">
        <v>108</v>
      </c>
      <c r="B17" s="3" t="s">
        <v>109</v>
      </c>
      <c r="C17" s="3" t="s">
        <v>110</v>
      </c>
      <c r="D17" s="3">
        <v>0.05</v>
      </c>
      <c r="E17" s="3">
        <v>0.02</v>
      </c>
      <c r="F17" s="3">
        <v>0.01</v>
      </c>
      <c r="G17" s="3" t="s">
        <v>73</v>
      </c>
      <c r="H17" s="3" t="s">
        <v>29</v>
      </c>
    </row>
    <row r="18" spans="1:8" x14ac:dyDescent="0.25">
      <c r="A18" s="3" t="s">
        <v>111</v>
      </c>
      <c r="B18" s="3" t="s">
        <v>112</v>
      </c>
      <c r="C18" s="3" t="s">
        <v>113</v>
      </c>
      <c r="D18" s="3">
        <v>50000</v>
      </c>
      <c r="E18" s="3">
        <v>50000</v>
      </c>
      <c r="F18" s="3">
        <v>50000</v>
      </c>
      <c r="G18" s="3" t="s">
        <v>101</v>
      </c>
      <c r="H18" s="3" t="s">
        <v>29</v>
      </c>
    </row>
    <row r="19" spans="1:8" x14ac:dyDescent="0.25">
      <c r="A19" s="3" t="s">
        <v>114</v>
      </c>
      <c r="B19" s="3" t="s">
        <v>115</v>
      </c>
      <c r="C19" s="3" t="s">
        <v>116</v>
      </c>
      <c r="D19" s="3">
        <v>10000</v>
      </c>
      <c r="E19" s="3">
        <v>10000</v>
      </c>
      <c r="F19" s="3">
        <v>10000</v>
      </c>
      <c r="G19" s="3" t="s">
        <v>97</v>
      </c>
      <c r="H19" s="3" t="s">
        <v>29</v>
      </c>
    </row>
    <row r="20" spans="1:8" x14ac:dyDescent="0.25">
      <c r="A20" s="3" t="s">
        <v>117</v>
      </c>
      <c r="B20" s="3" t="s">
        <v>118</v>
      </c>
      <c r="C20" s="3" t="s">
        <v>119</v>
      </c>
      <c r="D20" s="3">
        <v>0.25</v>
      </c>
      <c r="E20" s="3">
        <v>0.4</v>
      </c>
      <c r="F20" s="3">
        <v>0.6</v>
      </c>
      <c r="G20" s="3" t="s">
        <v>120</v>
      </c>
      <c r="H20" s="3" t="s">
        <v>29</v>
      </c>
    </row>
    <row r="21" spans="1:8" x14ac:dyDescent="0.25">
      <c r="A21" s="3" t="s">
        <v>121</v>
      </c>
      <c r="B21" s="3" t="s">
        <v>122</v>
      </c>
      <c r="C21" s="3" t="s">
        <v>123</v>
      </c>
      <c r="D21" s="3">
        <v>1</v>
      </c>
      <c r="E21" s="3">
        <v>1</v>
      </c>
      <c r="F21" s="3">
        <v>1</v>
      </c>
      <c r="G21" s="3" t="s">
        <v>124</v>
      </c>
      <c r="H21" s="3" t="s">
        <v>29</v>
      </c>
    </row>
    <row r="22" spans="1:8" x14ac:dyDescent="0.25">
      <c r="A22" s="3" t="s">
        <v>125</v>
      </c>
      <c r="B22" s="3" t="s">
        <v>126</v>
      </c>
      <c r="C22" s="3" t="s">
        <v>127</v>
      </c>
      <c r="D22" s="3">
        <v>0.5</v>
      </c>
      <c r="E22" s="3">
        <v>0.5</v>
      </c>
      <c r="F22" s="3">
        <v>0.5</v>
      </c>
      <c r="G22" s="3" t="s">
        <v>124</v>
      </c>
      <c r="H22" s="3" t="s">
        <v>29</v>
      </c>
    </row>
    <row r="23" spans="1:8" x14ac:dyDescent="0.25">
      <c r="A23" s="3" t="s">
        <v>128</v>
      </c>
      <c r="B23" s="3" t="s">
        <v>129</v>
      </c>
      <c r="C23" s="3" t="s">
        <v>130</v>
      </c>
      <c r="D23" s="3">
        <v>0.95</v>
      </c>
      <c r="E23" s="3">
        <v>0.96</v>
      </c>
      <c r="F23" s="3">
        <v>0.97</v>
      </c>
      <c r="G23" s="3" t="s">
        <v>73</v>
      </c>
      <c r="H23" s="3" t="s">
        <v>29</v>
      </c>
    </row>
    <row r="24" spans="1:8" x14ac:dyDescent="0.25">
      <c r="A24" s="3" t="s">
        <v>16</v>
      </c>
      <c r="B24" s="3" t="s">
        <v>131</v>
      </c>
      <c r="C24" s="3" t="s">
        <v>132</v>
      </c>
      <c r="D24" s="3" t="s">
        <v>16</v>
      </c>
      <c r="E24" s="3" t="s">
        <v>16</v>
      </c>
      <c r="F24" s="3" t="s">
        <v>16</v>
      </c>
      <c r="G24" s="3" t="s">
        <v>133</v>
      </c>
      <c r="H24" s="3" t="s">
        <v>16</v>
      </c>
    </row>
    <row r="25" spans="1:8" x14ac:dyDescent="0.25">
      <c r="A25" s="3" t="s">
        <v>16</v>
      </c>
      <c r="B25" s="3" t="s">
        <v>134</v>
      </c>
      <c r="C25" s="3" t="s">
        <v>135</v>
      </c>
      <c r="D25" s="3" t="s">
        <v>16</v>
      </c>
      <c r="E25" s="3" t="s">
        <v>16</v>
      </c>
      <c r="F25" s="3" t="s">
        <v>16</v>
      </c>
      <c r="G25" s="3" t="s">
        <v>133</v>
      </c>
      <c r="H25" s="3" t="s">
        <v>16</v>
      </c>
    </row>
    <row r="26" spans="1:8" x14ac:dyDescent="0.25">
      <c r="A26" s="3" t="s">
        <v>16</v>
      </c>
      <c r="B26" s="3" t="s">
        <v>136</v>
      </c>
      <c r="C26" s="3" t="s">
        <v>137</v>
      </c>
      <c r="D26" s="3" t="s">
        <v>16</v>
      </c>
      <c r="E26" s="3" t="s">
        <v>16</v>
      </c>
      <c r="F26" s="3" t="s">
        <v>16</v>
      </c>
      <c r="G26" s="3" t="s">
        <v>133</v>
      </c>
      <c r="H26" s="3" t="s">
        <v>16</v>
      </c>
    </row>
    <row r="27" spans="1:8" x14ac:dyDescent="0.25">
      <c r="A27" s="3" t="s">
        <v>16</v>
      </c>
      <c r="B27" s="3" t="s">
        <v>138</v>
      </c>
      <c r="C27" s="3" t="s">
        <v>139</v>
      </c>
      <c r="D27" s="3" t="s">
        <v>16</v>
      </c>
      <c r="E27" s="3" t="s">
        <v>16</v>
      </c>
      <c r="F27" s="3" t="s">
        <v>16</v>
      </c>
      <c r="G27" s="3" t="s">
        <v>133</v>
      </c>
      <c r="H27" s="3" t="s">
        <v>16</v>
      </c>
    </row>
    <row r="28" spans="1:8" x14ac:dyDescent="0.25">
      <c r="A28" s="3" t="s">
        <v>16</v>
      </c>
      <c r="B28" s="3" t="s">
        <v>140</v>
      </c>
      <c r="C28" s="3" t="s">
        <v>141</v>
      </c>
      <c r="D28" s="3" t="s">
        <v>16</v>
      </c>
      <c r="E28" s="3" t="s">
        <v>16</v>
      </c>
      <c r="F28" s="3" t="s">
        <v>16</v>
      </c>
      <c r="G28" s="3" t="s">
        <v>133</v>
      </c>
      <c r="H28" s="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2" width="33" customWidth="1"/>
    <col min="3" max="3" width="48" customWidth="1"/>
    <col min="4" max="4" width="38" customWidth="1"/>
    <col min="5" max="5" width="18" customWidth="1"/>
  </cols>
  <sheetData>
    <row r="1" spans="1:5" s="1" customFormat="1" x14ac:dyDescent="0.25">
      <c r="A1" s="2" t="s">
        <v>44</v>
      </c>
      <c r="B1" s="2" t="s">
        <v>142</v>
      </c>
      <c r="C1" s="2" t="s">
        <v>143</v>
      </c>
      <c r="D1" s="2" t="s">
        <v>144</v>
      </c>
      <c r="E1" s="2" t="s">
        <v>22</v>
      </c>
    </row>
    <row r="2" spans="1:5" x14ac:dyDescent="0.25">
      <c r="A2" s="3" t="s">
        <v>59</v>
      </c>
      <c r="B2" s="3" t="s">
        <v>75</v>
      </c>
      <c r="C2" s="3" t="s">
        <v>145</v>
      </c>
      <c r="D2" s="3" t="s">
        <v>146</v>
      </c>
      <c r="E2" s="3" t="s">
        <v>147</v>
      </c>
    </row>
    <row r="3" spans="1:5" x14ac:dyDescent="0.25">
      <c r="A3" s="3" t="s">
        <v>63</v>
      </c>
      <c r="B3" s="3" t="s">
        <v>75</v>
      </c>
      <c r="C3" s="3" t="s">
        <v>145</v>
      </c>
      <c r="D3" s="3" t="s">
        <v>146</v>
      </c>
      <c r="E3" s="3" t="s">
        <v>147</v>
      </c>
    </row>
    <row r="4" spans="1:5" x14ac:dyDescent="0.25">
      <c r="A4" s="3" t="s">
        <v>67</v>
      </c>
      <c r="B4" s="3" t="s">
        <v>75</v>
      </c>
      <c r="C4" s="3" t="s">
        <v>145</v>
      </c>
      <c r="D4" s="3" t="s">
        <v>146</v>
      </c>
      <c r="E4" s="3" t="s">
        <v>147</v>
      </c>
    </row>
    <row r="5" spans="1:5" x14ac:dyDescent="0.25">
      <c r="A5" s="3" t="s">
        <v>71</v>
      </c>
      <c r="B5" s="3" t="s">
        <v>75</v>
      </c>
      <c r="C5" s="3" t="s">
        <v>145</v>
      </c>
      <c r="D5" s="3" t="s">
        <v>146</v>
      </c>
      <c r="E5" s="3" t="s">
        <v>147</v>
      </c>
    </row>
    <row r="6" spans="1:5" x14ac:dyDescent="0.25">
      <c r="A6" s="3" t="s">
        <v>75</v>
      </c>
      <c r="B6" s="3" t="s">
        <v>148</v>
      </c>
      <c r="C6" s="3" t="s">
        <v>149</v>
      </c>
      <c r="D6" s="3" t="s">
        <v>150</v>
      </c>
      <c r="E6" s="3" t="s">
        <v>77</v>
      </c>
    </row>
    <row r="7" spans="1:5" x14ac:dyDescent="0.25">
      <c r="A7" s="3" t="s">
        <v>151</v>
      </c>
      <c r="B7" s="3" t="s">
        <v>148</v>
      </c>
      <c r="C7" s="3" t="s">
        <v>152</v>
      </c>
      <c r="D7" s="3" t="s">
        <v>146</v>
      </c>
      <c r="E7" s="3" t="s">
        <v>77</v>
      </c>
    </row>
    <row r="8" spans="1:5" x14ac:dyDescent="0.25">
      <c r="A8" s="3" t="s">
        <v>153</v>
      </c>
      <c r="B8" s="3" t="s">
        <v>154</v>
      </c>
      <c r="C8" s="3" t="s">
        <v>155</v>
      </c>
      <c r="D8" s="3" t="s">
        <v>156</v>
      </c>
      <c r="E8" s="3" t="s">
        <v>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20" customWidth="1"/>
    <col min="4" max="4" width="14" customWidth="1"/>
    <col min="5" max="5" width="24" customWidth="1"/>
    <col min="6" max="6" width="19" customWidth="1"/>
    <col min="7" max="7" width="17" customWidth="1"/>
    <col min="8" max="8" width="27" customWidth="1"/>
  </cols>
  <sheetData>
    <row r="1" spans="1:8" s="1" customFormat="1" x14ac:dyDescent="0.25">
      <c r="A1" s="2" t="s">
        <v>157</v>
      </c>
      <c r="B1" s="2" t="s">
        <v>158</v>
      </c>
      <c r="C1" s="2" t="s">
        <v>159</v>
      </c>
      <c r="D1" s="2" t="s">
        <v>52</v>
      </c>
      <c r="E1" s="2" t="s">
        <v>56</v>
      </c>
      <c r="F1" s="2" t="s">
        <v>61</v>
      </c>
      <c r="G1" s="2" t="s">
        <v>160</v>
      </c>
      <c r="H1" s="2" t="s">
        <v>161</v>
      </c>
    </row>
    <row r="2" spans="1:8" x14ac:dyDescent="0.25">
      <c r="A2" s="3" t="s">
        <v>46</v>
      </c>
      <c r="B2" s="3" t="s">
        <v>162</v>
      </c>
      <c r="C2" s="3">
        <v>1</v>
      </c>
      <c r="D2" s="3">
        <v>1</v>
      </c>
      <c r="E2" s="3">
        <v>3</v>
      </c>
      <c r="F2" s="3">
        <v>2</v>
      </c>
      <c r="G2" s="3">
        <f>D2*F2</f>
        <v>2</v>
      </c>
      <c r="H2" s="3">
        <f>C2*F2</f>
        <v>2</v>
      </c>
    </row>
    <row r="3" spans="1:8" x14ac:dyDescent="0.25">
      <c r="A3" s="3" t="s">
        <v>46</v>
      </c>
      <c r="B3" s="3" t="s">
        <v>163</v>
      </c>
      <c r="C3" s="3">
        <v>1</v>
      </c>
      <c r="D3" s="3">
        <v>2</v>
      </c>
      <c r="E3" s="3">
        <v>6</v>
      </c>
      <c r="F3" s="3">
        <v>2</v>
      </c>
      <c r="G3" s="3">
        <f>D3*F3</f>
        <v>4</v>
      </c>
      <c r="H3" s="3">
        <f>C3*F3</f>
        <v>2</v>
      </c>
    </row>
    <row r="4" spans="1:8" x14ac:dyDescent="0.25">
      <c r="A4" s="3" t="s">
        <v>46</v>
      </c>
      <c r="B4" s="3" t="s">
        <v>164</v>
      </c>
      <c r="C4" s="3">
        <v>1</v>
      </c>
      <c r="D4" s="3">
        <v>3</v>
      </c>
      <c r="E4" s="3">
        <v>8</v>
      </c>
      <c r="F4" s="3">
        <v>2</v>
      </c>
      <c r="G4" s="3">
        <f>D4*F4</f>
        <v>6</v>
      </c>
      <c r="H4" s="3">
        <f>C4*F4</f>
        <v>2</v>
      </c>
    </row>
    <row r="5" spans="1:8" x14ac:dyDescent="0.25">
      <c r="A5" s="3" t="s">
        <v>46</v>
      </c>
      <c r="B5" s="3" t="s">
        <v>165</v>
      </c>
      <c r="C5" s="3">
        <v>1</v>
      </c>
      <c r="D5" s="3">
        <v>4</v>
      </c>
      <c r="E5" s="3">
        <v>9</v>
      </c>
      <c r="F5" s="3">
        <v>2</v>
      </c>
      <c r="G5" s="3">
        <f>D5*F5</f>
        <v>8</v>
      </c>
      <c r="H5" s="3">
        <f>C5*F5</f>
        <v>2</v>
      </c>
    </row>
    <row r="6" spans="1:8" x14ac:dyDescent="0.25">
      <c r="A6" s="3" t="s">
        <v>46</v>
      </c>
      <c r="B6" s="3" t="s">
        <v>166</v>
      </c>
      <c r="C6" s="3">
        <v>1</v>
      </c>
      <c r="D6" s="3">
        <v>5</v>
      </c>
      <c r="E6" s="3">
        <v>10</v>
      </c>
      <c r="F6" s="3">
        <v>2</v>
      </c>
      <c r="G6" s="3">
        <f>D6*F6</f>
        <v>10</v>
      </c>
      <c r="H6" s="3">
        <f>C6*F6</f>
        <v>2</v>
      </c>
    </row>
    <row r="7" spans="1:8" x14ac:dyDescent="0.25">
      <c r="A7" s="3" t="s">
        <v>24</v>
      </c>
      <c r="B7" s="3" t="s">
        <v>162</v>
      </c>
      <c r="C7" s="3">
        <v>2</v>
      </c>
      <c r="D7" s="3">
        <v>2</v>
      </c>
      <c r="E7" s="3">
        <v>5</v>
      </c>
      <c r="F7" s="3">
        <v>3</v>
      </c>
      <c r="G7" s="3">
        <f>D7*F7</f>
        <v>6</v>
      </c>
      <c r="H7" s="3">
        <f>C7*F7</f>
        <v>6</v>
      </c>
    </row>
    <row r="8" spans="1:8" x14ac:dyDescent="0.25">
      <c r="A8" s="3" t="s">
        <v>24</v>
      </c>
      <c r="B8" s="3" t="s">
        <v>163</v>
      </c>
      <c r="C8" s="3">
        <v>2</v>
      </c>
      <c r="D8" s="3">
        <v>4</v>
      </c>
      <c r="E8" s="3">
        <v>8</v>
      </c>
      <c r="F8" s="3">
        <v>3</v>
      </c>
      <c r="G8" s="3">
        <f>D8*F8</f>
        <v>12</v>
      </c>
      <c r="H8" s="3">
        <f>C8*F8</f>
        <v>6</v>
      </c>
    </row>
    <row r="9" spans="1:8" x14ac:dyDescent="0.25">
      <c r="A9" s="3" t="s">
        <v>24</v>
      </c>
      <c r="B9" s="3" t="s">
        <v>164</v>
      </c>
      <c r="C9" s="3">
        <v>2</v>
      </c>
      <c r="D9" s="3">
        <v>6</v>
      </c>
      <c r="E9" s="3">
        <v>9</v>
      </c>
      <c r="F9" s="3">
        <v>3</v>
      </c>
      <c r="G9" s="3">
        <f>D9*F9</f>
        <v>18</v>
      </c>
      <c r="H9" s="3">
        <f>C9*F9</f>
        <v>6</v>
      </c>
    </row>
    <row r="10" spans="1:8" x14ac:dyDescent="0.25">
      <c r="A10" s="3" t="s">
        <v>24</v>
      </c>
      <c r="B10" s="3" t="s">
        <v>165</v>
      </c>
      <c r="C10" s="3">
        <v>2</v>
      </c>
      <c r="D10" s="3">
        <v>8</v>
      </c>
      <c r="E10" s="3">
        <v>10</v>
      </c>
      <c r="F10" s="3">
        <v>3</v>
      </c>
      <c r="G10" s="3">
        <f>D10*F10</f>
        <v>24</v>
      </c>
      <c r="H10" s="3">
        <f>C10*F10</f>
        <v>6</v>
      </c>
    </row>
    <row r="11" spans="1:8" x14ac:dyDescent="0.25">
      <c r="A11" s="3" t="s">
        <v>24</v>
      </c>
      <c r="B11" s="3" t="s">
        <v>166</v>
      </c>
      <c r="C11" s="3">
        <v>2</v>
      </c>
      <c r="D11" s="3">
        <v>10</v>
      </c>
      <c r="E11" s="3">
        <v>11</v>
      </c>
      <c r="F11" s="3">
        <v>3</v>
      </c>
      <c r="G11" s="3">
        <f>D11*F11</f>
        <v>30</v>
      </c>
      <c r="H11" s="3">
        <f>C11*F11</f>
        <v>6</v>
      </c>
    </row>
    <row r="12" spans="1:8" x14ac:dyDescent="0.25">
      <c r="A12" s="3" t="s">
        <v>47</v>
      </c>
      <c r="B12" s="3" t="s">
        <v>162</v>
      </c>
      <c r="C12" s="3">
        <v>3</v>
      </c>
      <c r="D12" s="3">
        <v>3</v>
      </c>
      <c r="E12" s="3">
        <v>6</v>
      </c>
      <c r="F12" s="3">
        <v>5</v>
      </c>
      <c r="G12" s="3">
        <f>D12*F12</f>
        <v>15</v>
      </c>
      <c r="H12" s="3">
        <f>C12*F12</f>
        <v>15</v>
      </c>
    </row>
    <row r="13" spans="1:8" x14ac:dyDescent="0.25">
      <c r="A13" s="3" t="s">
        <v>47</v>
      </c>
      <c r="B13" s="3" t="s">
        <v>163</v>
      </c>
      <c r="C13" s="3">
        <v>3</v>
      </c>
      <c r="D13" s="3">
        <v>6</v>
      </c>
      <c r="E13" s="3">
        <v>9</v>
      </c>
      <c r="F13" s="3">
        <v>5</v>
      </c>
      <c r="G13" s="3">
        <f>D13*F13</f>
        <v>30</v>
      </c>
      <c r="H13" s="3">
        <f>C13*F13</f>
        <v>15</v>
      </c>
    </row>
    <row r="14" spans="1:8" x14ac:dyDescent="0.25">
      <c r="A14" s="3" t="s">
        <v>47</v>
      </c>
      <c r="B14" s="3" t="s">
        <v>164</v>
      </c>
      <c r="C14" s="3">
        <v>4</v>
      </c>
      <c r="D14" s="3">
        <v>10</v>
      </c>
      <c r="E14" s="3">
        <v>10</v>
      </c>
      <c r="F14" s="3">
        <v>5</v>
      </c>
      <c r="G14" s="3">
        <f>D14*F14</f>
        <v>50</v>
      </c>
      <c r="H14" s="3">
        <f>C14*F14</f>
        <v>20</v>
      </c>
    </row>
    <row r="15" spans="1:8" x14ac:dyDescent="0.25">
      <c r="A15" s="3" t="s">
        <v>47</v>
      </c>
      <c r="B15" s="3" t="s">
        <v>165</v>
      </c>
      <c r="C15" s="3">
        <v>4</v>
      </c>
      <c r="D15" s="3">
        <v>14</v>
      </c>
      <c r="E15" s="3">
        <v>11</v>
      </c>
      <c r="F15" s="3">
        <v>5</v>
      </c>
      <c r="G15" s="3">
        <f>D15*F15</f>
        <v>70</v>
      </c>
      <c r="H15" s="3">
        <f>C15*F15</f>
        <v>20</v>
      </c>
    </row>
    <row r="16" spans="1:8" x14ac:dyDescent="0.25">
      <c r="A16" s="3" t="s">
        <v>47</v>
      </c>
      <c r="B16" s="3" t="s">
        <v>166</v>
      </c>
      <c r="C16" s="3">
        <v>4</v>
      </c>
      <c r="D16" s="3">
        <v>18</v>
      </c>
      <c r="E16" s="3">
        <v>11</v>
      </c>
      <c r="F16" s="3">
        <v>5</v>
      </c>
      <c r="G16" s="3">
        <f>D16*F16</f>
        <v>90</v>
      </c>
      <c r="H16" s="3">
        <f>C16*F16</f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14" customWidth="1"/>
    <col min="4" max="4" width="24" customWidth="1"/>
    <col min="5" max="5" width="13" customWidth="1"/>
    <col min="6" max="7" width="33" customWidth="1"/>
  </cols>
  <sheetData>
    <row r="1" spans="1:7" s="1" customFormat="1" x14ac:dyDescent="0.25">
      <c r="A1" s="2" t="s">
        <v>157</v>
      </c>
      <c r="B1" s="2" t="s">
        <v>158</v>
      </c>
      <c r="C1" s="2" t="s">
        <v>52</v>
      </c>
      <c r="D1" s="2" t="s">
        <v>56</v>
      </c>
      <c r="E1" s="2" t="s">
        <v>75</v>
      </c>
      <c r="F1" s="2" t="s">
        <v>148</v>
      </c>
      <c r="G1" s="2" t="s">
        <v>167</v>
      </c>
    </row>
    <row r="2" spans="1:7" x14ac:dyDescent="0.25">
      <c r="A2" s="3" t="s">
        <v>46</v>
      </c>
      <c r="B2" s="3" t="s">
        <v>162</v>
      </c>
      <c r="C2" s="3">
        <v>1</v>
      </c>
      <c r="D2" s="3">
        <v>3</v>
      </c>
      <c r="E2" s="3">
        <v>138</v>
      </c>
      <c r="F2" s="3">
        <f>C2*D2*E2</f>
        <v>414</v>
      </c>
      <c r="G2" s="3" t="s">
        <v>152</v>
      </c>
    </row>
    <row r="3" spans="1:7" x14ac:dyDescent="0.25">
      <c r="A3" s="3" t="s">
        <v>46</v>
      </c>
      <c r="B3" s="3" t="s">
        <v>163</v>
      </c>
      <c r="C3" s="3">
        <v>2</v>
      </c>
      <c r="D3" s="3">
        <v>6</v>
      </c>
      <c r="E3" s="3">
        <v>138</v>
      </c>
      <c r="F3" s="3">
        <f>C3*D3*E3</f>
        <v>1656</v>
      </c>
      <c r="G3" s="3" t="s">
        <v>152</v>
      </c>
    </row>
    <row r="4" spans="1:7" x14ac:dyDescent="0.25">
      <c r="A4" s="3" t="s">
        <v>46</v>
      </c>
      <c r="B4" s="3" t="s">
        <v>164</v>
      </c>
      <c r="C4" s="3">
        <v>3</v>
      </c>
      <c r="D4" s="3">
        <v>8</v>
      </c>
      <c r="E4" s="3">
        <v>138</v>
      </c>
      <c r="F4" s="3">
        <f>C4*D4*E4</f>
        <v>3312</v>
      </c>
      <c r="G4" s="3" t="s">
        <v>152</v>
      </c>
    </row>
    <row r="5" spans="1:7" x14ac:dyDescent="0.25">
      <c r="A5" s="3" t="s">
        <v>46</v>
      </c>
      <c r="B5" s="3" t="s">
        <v>165</v>
      </c>
      <c r="C5" s="3">
        <v>4</v>
      </c>
      <c r="D5" s="3">
        <v>9</v>
      </c>
      <c r="E5" s="3">
        <v>138</v>
      </c>
      <c r="F5" s="3">
        <f>C5*D5*E5</f>
        <v>4968</v>
      </c>
      <c r="G5" s="3" t="s">
        <v>152</v>
      </c>
    </row>
    <row r="6" spans="1:7" x14ac:dyDescent="0.25">
      <c r="A6" s="3" t="s">
        <v>46</v>
      </c>
      <c r="B6" s="3" t="s">
        <v>166</v>
      </c>
      <c r="C6" s="3">
        <v>5</v>
      </c>
      <c r="D6" s="3">
        <v>10</v>
      </c>
      <c r="E6" s="3">
        <v>138</v>
      </c>
      <c r="F6" s="3">
        <f>C6*D6*E6</f>
        <v>6900</v>
      </c>
      <c r="G6" s="3" t="s">
        <v>152</v>
      </c>
    </row>
    <row r="7" spans="1:7" x14ac:dyDescent="0.25">
      <c r="A7" s="3" t="s">
        <v>24</v>
      </c>
      <c r="B7" s="3" t="s">
        <v>162</v>
      </c>
      <c r="C7" s="3">
        <v>2</v>
      </c>
      <c r="D7" s="3">
        <v>5</v>
      </c>
      <c r="E7" s="3">
        <v>648</v>
      </c>
      <c r="F7" s="3">
        <f>C7*D7*E7</f>
        <v>6480</v>
      </c>
      <c r="G7" s="3" t="s">
        <v>152</v>
      </c>
    </row>
    <row r="8" spans="1:7" x14ac:dyDescent="0.25">
      <c r="A8" s="3" t="s">
        <v>24</v>
      </c>
      <c r="B8" s="3" t="s">
        <v>163</v>
      </c>
      <c r="C8" s="3">
        <v>4</v>
      </c>
      <c r="D8" s="3">
        <v>8</v>
      </c>
      <c r="E8" s="3">
        <v>648</v>
      </c>
      <c r="F8" s="3">
        <f>C8*D8*E8</f>
        <v>20736</v>
      </c>
      <c r="G8" s="3" t="s">
        <v>152</v>
      </c>
    </row>
    <row r="9" spans="1:7" x14ac:dyDescent="0.25">
      <c r="A9" s="3" t="s">
        <v>24</v>
      </c>
      <c r="B9" s="3" t="s">
        <v>164</v>
      </c>
      <c r="C9" s="3">
        <v>6</v>
      </c>
      <c r="D9" s="3">
        <v>9</v>
      </c>
      <c r="E9" s="3">
        <v>648</v>
      </c>
      <c r="F9" s="3">
        <f>C9*D9*E9</f>
        <v>34992</v>
      </c>
      <c r="G9" s="3" t="s">
        <v>152</v>
      </c>
    </row>
    <row r="10" spans="1:7" x14ac:dyDescent="0.25">
      <c r="A10" s="3" t="s">
        <v>24</v>
      </c>
      <c r="B10" s="3" t="s">
        <v>165</v>
      </c>
      <c r="C10" s="3">
        <v>8</v>
      </c>
      <c r="D10" s="3">
        <v>10</v>
      </c>
      <c r="E10" s="3">
        <v>648</v>
      </c>
      <c r="F10" s="3">
        <f>C10*D10*E10</f>
        <v>51840</v>
      </c>
      <c r="G10" s="3" t="s">
        <v>152</v>
      </c>
    </row>
    <row r="11" spans="1:7" x14ac:dyDescent="0.25">
      <c r="A11" s="3" t="s">
        <v>24</v>
      </c>
      <c r="B11" s="3" t="s">
        <v>166</v>
      </c>
      <c r="C11" s="3">
        <v>10</v>
      </c>
      <c r="D11" s="3">
        <v>11</v>
      </c>
      <c r="E11" s="3">
        <v>648</v>
      </c>
      <c r="F11" s="3">
        <f>C11*D11*E11</f>
        <v>71280</v>
      </c>
      <c r="G11" s="3" t="s">
        <v>152</v>
      </c>
    </row>
    <row r="12" spans="1:7" x14ac:dyDescent="0.25">
      <c r="A12" s="3" t="s">
        <v>47</v>
      </c>
      <c r="B12" s="3" t="s">
        <v>162</v>
      </c>
      <c r="C12" s="3">
        <v>3</v>
      </c>
      <c r="D12" s="3">
        <v>6</v>
      </c>
      <c r="E12" s="3">
        <v>2450</v>
      </c>
      <c r="F12" s="3">
        <f>C12*D12*E12</f>
        <v>44100</v>
      </c>
      <c r="G12" s="3" t="s">
        <v>152</v>
      </c>
    </row>
    <row r="13" spans="1:7" x14ac:dyDescent="0.25">
      <c r="A13" s="3" t="s">
        <v>47</v>
      </c>
      <c r="B13" s="3" t="s">
        <v>163</v>
      </c>
      <c r="C13" s="3">
        <v>6</v>
      </c>
      <c r="D13" s="3">
        <v>9</v>
      </c>
      <c r="E13" s="3">
        <v>2450</v>
      </c>
      <c r="F13" s="3">
        <f>C13*D13*E13</f>
        <v>132300</v>
      </c>
      <c r="G13" s="3" t="s">
        <v>152</v>
      </c>
    </row>
    <row r="14" spans="1:7" x14ac:dyDescent="0.25">
      <c r="A14" s="3" t="s">
        <v>47</v>
      </c>
      <c r="B14" s="3" t="s">
        <v>164</v>
      </c>
      <c r="C14" s="3">
        <v>10</v>
      </c>
      <c r="D14" s="3">
        <v>10</v>
      </c>
      <c r="E14" s="3">
        <v>2450</v>
      </c>
      <c r="F14" s="3">
        <f>C14*D14*E14</f>
        <v>245000</v>
      </c>
      <c r="G14" s="3" t="s">
        <v>152</v>
      </c>
    </row>
    <row r="15" spans="1:7" x14ac:dyDescent="0.25">
      <c r="A15" s="3" t="s">
        <v>47</v>
      </c>
      <c r="B15" s="3" t="s">
        <v>165</v>
      </c>
      <c r="C15" s="3">
        <v>14</v>
      </c>
      <c r="D15" s="3">
        <v>11</v>
      </c>
      <c r="E15" s="3">
        <v>2450</v>
      </c>
      <c r="F15" s="3">
        <f>C15*D15*E15</f>
        <v>377300</v>
      </c>
      <c r="G15" s="3" t="s">
        <v>152</v>
      </c>
    </row>
    <row r="16" spans="1:7" x14ac:dyDescent="0.25">
      <c r="A16" s="3" t="s">
        <v>47</v>
      </c>
      <c r="B16" s="3" t="s">
        <v>166</v>
      </c>
      <c r="C16" s="3">
        <v>18</v>
      </c>
      <c r="D16" s="3">
        <v>11</v>
      </c>
      <c r="E16" s="3">
        <v>2450</v>
      </c>
      <c r="F16" s="3">
        <f>C16*D16*E16</f>
        <v>485100</v>
      </c>
      <c r="G16" s="3" t="s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24" customWidth="1"/>
    <col min="3" max="3" width="21" customWidth="1"/>
    <col min="4" max="4" width="15" customWidth="1"/>
    <col min="5" max="5" width="22" customWidth="1"/>
    <col min="6" max="6" width="25" customWidth="1"/>
    <col min="7" max="7" width="29" customWidth="1"/>
    <col min="8" max="8" width="30" customWidth="1"/>
  </cols>
  <sheetData>
    <row r="1" spans="1:8" s="1" customFormat="1" x14ac:dyDescent="0.25">
      <c r="A1" s="2" t="s">
        <v>157</v>
      </c>
      <c r="B1" s="2" t="s">
        <v>81</v>
      </c>
      <c r="C1" s="2" t="s">
        <v>85</v>
      </c>
      <c r="D1" s="2" t="s">
        <v>168</v>
      </c>
      <c r="E1" s="2" t="s">
        <v>93</v>
      </c>
      <c r="F1" s="2" t="s">
        <v>169</v>
      </c>
      <c r="G1" s="2" t="s">
        <v>123</v>
      </c>
      <c r="H1" s="2" t="s">
        <v>127</v>
      </c>
    </row>
    <row r="2" spans="1:8" x14ac:dyDescent="0.25">
      <c r="A2" s="3" t="s">
        <v>46</v>
      </c>
      <c r="B2" s="3">
        <v>2500</v>
      </c>
      <c r="C2" s="3">
        <v>1000</v>
      </c>
      <c r="D2" s="3">
        <v>1.5</v>
      </c>
      <c r="E2" s="3">
        <v>0.5</v>
      </c>
      <c r="F2" s="3">
        <v>1</v>
      </c>
      <c r="G2" s="3">
        <v>1</v>
      </c>
      <c r="H2" s="3">
        <v>0.5</v>
      </c>
    </row>
    <row r="3" spans="1:8" x14ac:dyDescent="0.25">
      <c r="A3" s="3" t="s">
        <v>24</v>
      </c>
      <c r="B3" s="3">
        <v>5000</v>
      </c>
      <c r="C3" s="3">
        <v>2000</v>
      </c>
      <c r="D3" s="3">
        <v>2</v>
      </c>
      <c r="E3" s="3">
        <v>0.75</v>
      </c>
      <c r="F3" s="3">
        <v>1.25</v>
      </c>
      <c r="G3" s="3">
        <v>1</v>
      </c>
      <c r="H3" s="3">
        <v>0.5</v>
      </c>
    </row>
    <row r="4" spans="1:8" x14ac:dyDescent="0.25">
      <c r="A4" s="3" t="s">
        <v>47</v>
      </c>
      <c r="B4" s="3">
        <v>7500</v>
      </c>
      <c r="C4" s="3">
        <v>3000</v>
      </c>
      <c r="D4" s="3">
        <v>2.5</v>
      </c>
      <c r="E4" s="3">
        <v>1</v>
      </c>
      <c r="F4" s="3">
        <v>1.5</v>
      </c>
      <c r="G4" s="3">
        <v>1</v>
      </c>
      <c r="H4" s="3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20" customWidth="1"/>
    <col min="4" max="4" width="17" customWidth="1"/>
    <col min="5" max="5" width="24" customWidth="1"/>
    <col min="6" max="6" width="23" customWidth="1"/>
    <col min="7" max="7" width="24" customWidth="1"/>
    <col min="8" max="8" width="48" customWidth="1"/>
  </cols>
  <sheetData>
    <row r="1" spans="1:8" s="1" customFormat="1" x14ac:dyDescent="0.25">
      <c r="A1" s="2" t="s">
        <v>157</v>
      </c>
      <c r="B1" s="2" t="s">
        <v>158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  <c r="H1" s="2" t="s">
        <v>167</v>
      </c>
    </row>
    <row r="2" spans="1:8" x14ac:dyDescent="0.25">
      <c r="A2" s="3" t="s">
        <v>46</v>
      </c>
      <c r="B2" s="3" t="s">
        <v>162</v>
      </c>
      <c r="C2" s="3">
        <v>5000</v>
      </c>
      <c r="D2" s="3">
        <v>6000</v>
      </c>
      <c r="E2" s="3">
        <v>621</v>
      </c>
      <c r="F2" s="3">
        <f>C2+D2+E2</f>
        <v>11621</v>
      </c>
      <c r="G2" s="3">
        <v>11040</v>
      </c>
      <c r="H2" s="3" t="s">
        <v>175</v>
      </c>
    </row>
    <row r="3" spans="1:8" x14ac:dyDescent="0.25">
      <c r="A3" s="3" t="s">
        <v>46</v>
      </c>
      <c r="B3" s="3" t="s">
        <v>163</v>
      </c>
      <c r="C3" s="3">
        <v>5000</v>
      </c>
      <c r="D3" s="3">
        <v>24000</v>
      </c>
      <c r="E3" s="3">
        <v>2484</v>
      </c>
      <c r="F3" s="3">
        <f>C3+D3+E3</f>
        <v>31484</v>
      </c>
      <c r="G3" s="3">
        <v>29910</v>
      </c>
      <c r="H3" s="3" t="s">
        <v>175</v>
      </c>
    </row>
    <row r="4" spans="1:8" x14ac:dyDescent="0.25">
      <c r="A4" s="3" t="s">
        <v>46</v>
      </c>
      <c r="B4" s="3" t="s">
        <v>164</v>
      </c>
      <c r="C4" s="3">
        <v>5000</v>
      </c>
      <c r="D4" s="3">
        <v>48000</v>
      </c>
      <c r="E4" s="3">
        <v>4968</v>
      </c>
      <c r="F4" s="3">
        <f>C4+D4+E4</f>
        <v>57968</v>
      </c>
      <c r="G4" s="3">
        <v>55070</v>
      </c>
      <c r="H4" s="3" t="s">
        <v>175</v>
      </c>
    </row>
    <row r="5" spans="1:8" x14ac:dyDescent="0.25">
      <c r="A5" s="3" t="s">
        <v>46</v>
      </c>
      <c r="B5" s="3" t="s">
        <v>165</v>
      </c>
      <c r="C5" s="3">
        <v>5000</v>
      </c>
      <c r="D5" s="3">
        <v>72000</v>
      </c>
      <c r="E5" s="3">
        <v>7452</v>
      </c>
      <c r="F5" s="3">
        <f>C5+D5+E5</f>
        <v>84452</v>
      </c>
      <c r="G5" s="3">
        <v>80229</v>
      </c>
      <c r="H5" s="3" t="s">
        <v>175</v>
      </c>
    </row>
    <row r="6" spans="1:8" x14ac:dyDescent="0.25">
      <c r="A6" s="3" t="s">
        <v>46</v>
      </c>
      <c r="B6" s="3" t="s">
        <v>166</v>
      </c>
      <c r="C6" s="3">
        <v>5000</v>
      </c>
      <c r="D6" s="3">
        <v>100000</v>
      </c>
      <c r="E6" s="3">
        <v>10350</v>
      </c>
      <c r="F6" s="3">
        <f>C6+D6+E6</f>
        <v>115350</v>
      </c>
      <c r="G6" s="3">
        <v>109583</v>
      </c>
      <c r="H6" s="3" t="s">
        <v>175</v>
      </c>
    </row>
    <row r="7" spans="1:8" x14ac:dyDescent="0.25">
      <c r="A7" s="3" t="s">
        <v>24</v>
      </c>
      <c r="B7" s="3" t="s">
        <v>162</v>
      </c>
      <c r="C7" s="3">
        <v>30000</v>
      </c>
      <c r="D7" s="3">
        <v>60000</v>
      </c>
      <c r="E7" s="3">
        <v>12960</v>
      </c>
      <c r="F7" s="3">
        <f>C7+D7+E7</f>
        <v>102960</v>
      </c>
      <c r="G7" s="3">
        <v>100901</v>
      </c>
      <c r="H7" s="3" t="s">
        <v>175</v>
      </c>
    </row>
    <row r="8" spans="1:8" x14ac:dyDescent="0.25">
      <c r="A8" s="3" t="s">
        <v>24</v>
      </c>
      <c r="B8" s="3" t="s">
        <v>163</v>
      </c>
      <c r="C8" s="3">
        <v>30000</v>
      </c>
      <c r="D8" s="3">
        <v>192000</v>
      </c>
      <c r="E8" s="3">
        <v>41472</v>
      </c>
      <c r="F8" s="3">
        <f>C8+D8+E8</f>
        <v>263472</v>
      </c>
      <c r="G8" s="3">
        <v>258203</v>
      </c>
      <c r="H8" s="3" t="s">
        <v>175</v>
      </c>
    </row>
    <row r="9" spans="1:8" x14ac:dyDescent="0.25">
      <c r="A9" s="3" t="s">
        <v>24</v>
      </c>
      <c r="B9" s="3" t="s">
        <v>164</v>
      </c>
      <c r="C9" s="3">
        <v>30000</v>
      </c>
      <c r="D9" s="3">
        <v>324000</v>
      </c>
      <c r="E9" s="3">
        <v>69984</v>
      </c>
      <c r="F9" s="3">
        <f>C9+D9+E9</f>
        <v>423984</v>
      </c>
      <c r="G9" s="3">
        <v>415504</v>
      </c>
      <c r="H9" s="3" t="s">
        <v>175</v>
      </c>
    </row>
    <row r="10" spans="1:8" x14ac:dyDescent="0.25">
      <c r="A10" s="3" t="s">
        <v>24</v>
      </c>
      <c r="B10" s="3" t="s">
        <v>165</v>
      </c>
      <c r="C10" s="3">
        <v>30000</v>
      </c>
      <c r="D10" s="3">
        <v>480000</v>
      </c>
      <c r="E10" s="3">
        <v>103680</v>
      </c>
      <c r="F10" s="3">
        <f>C10+D10+E10</f>
        <v>613680</v>
      </c>
      <c r="G10" s="3">
        <v>601406</v>
      </c>
      <c r="H10" s="3" t="s">
        <v>175</v>
      </c>
    </row>
    <row r="11" spans="1:8" x14ac:dyDescent="0.25">
      <c r="A11" s="3" t="s">
        <v>24</v>
      </c>
      <c r="B11" s="3" t="s">
        <v>166</v>
      </c>
      <c r="C11" s="3">
        <v>30000</v>
      </c>
      <c r="D11" s="3">
        <v>660000</v>
      </c>
      <c r="E11" s="3">
        <v>142560</v>
      </c>
      <c r="F11" s="3">
        <f>C11+D11+E11</f>
        <v>832560</v>
      </c>
      <c r="G11" s="3">
        <v>815909</v>
      </c>
      <c r="H11" s="3" t="s">
        <v>175</v>
      </c>
    </row>
    <row r="12" spans="1:8" x14ac:dyDescent="0.25">
      <c r="A12" s="3" t="s">
        <v>47</v>
      </c>
      <c r="B12" s="3" t="s">
        <v>162</v>
      </c>
      <c r="C12" s="3">
        <v>112500</v>
      </c>
      <c r="D12" s="3">
        <v>270000</v>
      </c>
      <c r="E12" s="3">
        <v>110250</v>
      </c>
      <c r="F12" s="3">
        <f>C12+D12+E12</f>
        <v>492750</v>
      </c>
      <c r="G12" s="3">
        <v>487823</v>
      </c>
      <c r="H12" s="3" t="s">
        <v>175</v>
      </c>
    </row>
    <row r="13" spans="1:8" x14ac:dyDescent="0.25">
      <c r="A13" s="3" t="s">
        <v>47</v>
      </c>
      <c r="B13" s="3" t="s">
        <v>163</v>
      </c>
      <c r="C13" s="3">
        <v>112500</v>
      </c>
      <c r="D13" s="3">
        <v>810000</v>
      </c>
      <c r="E13" s="3">
        <v>330750</v>
      </c>
      <c r="F13" s="3">
        <f>C13+D13+E13</f>
        <v>1253250</v>
      </c>
      <c r="G13" s="3">
        <v>1240718</v>
      </c>
      <c r="H13" s="3" t="s">
        <v>175</v>
      </c>
    </row>
    <row r="14" spans="1:8" x14ac:dyDescent="0.25">
      <c r="A14" s="3" t="s">
        <v>47</v>
      </c>
      <c r="B14" s="3" t="s">
        <v>164</v>
      </c>
      <c r="C14" s="3">
        <v>150000</v>
      </c>
      <c r="D14" s="3">
        <v>1500000</v>
      </c>
      <c r="E14" s="3">
        <v>612500</v>
      </c>
      <c r="F14" s="3">
        <f>C14+D14+E14</f>
        <v>2262500</v>
      </c>
      <c r="G14" s="3">
        <v>2239875</v>
      </c>
      <c r="H14" s="3" t="s">
        <v>175</v>
      </c>
    </row>
    <row r="15" spans="1:8" x14ac:dyDescent="0.25">
      <c r="A15" s="3" t="s">
        <v>47</v>
      </c>
      <c r="B15" s="3" t="s">
        <v>165</v>
      </c>
      <c r="C15" s="3">
        <v>150000</v>
      </c>
      <c r="D15" s="3">
        <v>2310000</v>
      </c>
      <c r="E15" s="3">
        <v>943250</v>
      </c>
      <c r="F15" s="3">
        <f>C15+D15+E15</f>
        <v>3403250</v>
      </c>
      <c r="G15" s="3">
        <v>3369218</v>
      </c>
      <c r="H15" s="3" t="s">
        <v>175</v>
      </c>
    </row>
    <row r="16" spans="1:8" x14ac:dyDescent="0.25">
      <c r="A16" s="3" t="s">
        <v>47</v>
      </c>
      <c r="B16" s="3" t="s">
        <v>166</v>
      </c>
      <c r="C16" s="3">
        <v>150000</v>
      </c>
      <c r="D16" s="3">
        <v>2970000</v>
      </c>
      <c r="E16" s="3">
        <v>1212750</v>
      </c>
      <c r="F16" s="3">
        <f>C16+D16+E16</f>
        <v>4332750</v>
      </c>
      <c r="G16" s="3">
        <v>4289423</v>
      </c>
      <c r="H16" s="3" t="s">
        <v>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27" customWidth="1"/>
    <col min="4" max="4" width="12" customWidth="1"/>
    <col min="5" max="5" width="20" customWidth="1"/>
    <col min="6" max="6" width="24" customWidth="1"/>
    <col min="7" max="7" width="29" customWidth="1"/>
  </cols>
  <sheetData>
    <row r="1" spans="1:7" s="1" customFormat="1" x14ac:dyDescent="0.25">
      <c r="A1" s="2" t="s">
        <v>157</v>
      </c>
      <c r="B1" s="2" t="s">
        <v>158</v>
      </c>
      <c r="C1" s="2" t="s">
        <v>176</v>
      </c>
      <c r="D1" s="2" t="s">
        <v>177</v>
      </c>
      <c r="E1" s="2" t="s">
        <v>104</v>
      </c>
      <c r="F1" s="2" t="s">
        <v>178</v>
      </c>
      <c r="G1" s="2" t="s">
        <v>179</v>
      </c>
    </row>
    <row r="2" spans="1:7" x14ac:dyDescent="0.25">
      <c r="A2" s="3" t="s">
        <v>46</v>
      </c>
      <c r="B2" s="3" t="s">
        <v>162</v>
      </c>
      <c r="C2" s="3">
        <v>581</v>
      </c>
      <c r="D2" s="3">
        <v>30000</v>
      </c>
      <c r="E2" s="3">
        <v>18000</v>
      </c>
      <c r="F2" s="3">
        <v>9000</v>
      </c>
      <c r="G2" s="3">
        <v>52</v>
      </c>
    </row>
    <row r="3" spans="1:7" x14ac:dyDescent="0.25">
      <c r="A3" s="3" t="s">
        <v>46</v>
      </c>
      <c r="B3" s="3" t="s">
        <v>163</v>
      </c>
      <c r="C3" s="3">
        <v>1574</v>
      </c>
      <c r="D3" s="3">
        <v>75000</v>
      </c>
      <c r="E3" s="3">
        <v>72000</v>
      </c>
      <c r="F3" s="3">
        <v>36000</v>
      </c>
      <c r="G3" s="3">
        <v>207</v>
      </c>
    </row>
    <row r="4" spans="1:7" x14ac:dyDescent="0.25">
      <c r="A4" s="3" t="s">
        <v>46</v>
      </c>
      <c r="B4" s="3" t="s">
        <v>164</v>
      </c>
      <c r="C4" s="3">
        <v>2898</v>
      </c>
      <c r="D4" s="3">
        <v>135000</v>
      </c>
      <c r="E4" s="3">
        <v>144000</v>
      </c>
      <c r="F4" s="3">
        <v>72000</v>
      </c>
      <c r="G4" s="3">
        <v>414</v>
      </c>
    </row>
    <row r="5" spans="1:7" x14ac:dyDescent="0.25">
      <c r="A5" s="3" t="s">
        <v>46</v>
      </c>
      <c r="B5" s="3" t="s">
        <v>165</v>
      </c>
      <c r="C5" s="3">
        <v>4223</v>
      </c>
      <c r="D5" s="3">
        <v>195000</v>
      </c>
      <c r="E5" s="3">
        <v>216000</v>
      </c>
      <c r="F5" s="3">
        <v>108000</v>
      </c>
      <c r="G5" s="3">
        <v>621</v>
      </c>
    </row>
    <row r="6" spans="1:7" x14ac:dyDescent="0.25">
      <c r="A6" s="3" t="s">
        <v>46</v>
      </c>
      <c r="B6" s="3" t="s">
        <v>166</v>
      </c>
      <c r="C6" s="3">
        <v>5768</v>
      </c>
      <c r="D6" s="3">
        <v>265000</v>
      </c>
      <c r="E6" s="3">
        <v>300000</v>
      </c>
      <c r="F6" s="3">
        <v>150000</v>
      </c>
      <c r="G6" s="3">
        <v>863</v>
      </c>
    </row>
    <row r="7" spans="1:7" x14ac:dyDescent="0.25">
      <c r="A7" s="3" t="s">
        <v>24</v>
      </c>
      <c r="B7" s="3" t="s">
        <v>162</v>
      </c>
      <c r="C7" s="3">
        <v>2059</v>
      </c>
      <c r="D7" s="3">
        <v>110000</v>
      </c>
      <c r="E7" s="3">
        <v>50000</v>
      </c>
      <c r="F7" s="3">
        <v>30000</v>
      </c>
      <c r="G7" s="3">
        <v>1296</v>
      </c>
    </row>
    <row r="8" spans="1:7" x14ac:dyDescent="0.25">
      <c r="A8" s="3" t="s">
        <v>24</v>
      </c>
      <c r="B8" s="3" t="s">
        <v>163</v>
      </c>
      <c r="C8" s="3">
        <v>5269</v>
      </c>
      <c r="D8" s="3">
        <v>264000</v>
      </c>
      <c r="E8" s="3">
        <v>160000</v>
      </c>
      <c r="F8" s="3">
        <v>96000</v>
      </c>
      <c r="G8" s="3">
        <v>4147</v>
      </c>
    </row>
    <row r="9" spans="1:7" x14ac:dyDescent="0.25">
      <c r="A9" s="3" t="s">
        <v>24</v>
      </c>
      <c r="B9" s="3" t="s">
        <v>164</v>
      </c>
      <c r="C9" s="3">
        <v>8480</v>
      </c>
      <c r="D9" s="3">
        <v>418000</v>
      </c>
      <c r="E9" s="3">
        <v>270000</v>
      </c>
      <c r="F9" s="3">
        <v>162000</v>
      </c>
      <c r="G9" s="3">
        <v>6998</v>
      </c>
    </row>
    <row r="10" spans="1:7" x14ac:dyDescent="0.25">
      <c r="A10" s="3" t="s">
        <v>24</v>
      </c>
      <c r="B10" s="3" t="s">
        <v>165</v>
      </c>
      <c r="C10" s="3">
        <v>12274</v>
      </c>
      <c r="D10" s="3">
        <v>600000</v>
      </c>
      <c r="E10" s="3">
        <v>400000</v>
      </c>
      <c r="F10" s="3">
        <v>240000</v>
      </c>
      <c r="G10" s="3">
        <v>10368</v>
      </c>
    </row>
    <row r="11" spans="1:7" x14ac:dyDescent="0.25">
      <c r="A11" s="3" t="s">
        <v>24</v>
      </c>
      <c r="B11" s="3" t="s">
        <v>166</v>
      </c>
      <c r="C11" s="3">
        <v>16651</v>
      </c>
      <c r="D11" s="3">
        <v>810000</v>
      </c>
      <c r="E11" s="3">
        <v>550000</v>
      </c>
      <c r="F11" s="3">
        <v>330000</v>
      </c>
      <c r="G11" s="3">
        <v>14256</v>
      </c>
    </row>
    <row r="12" spans="1:7" x14ac:dyDescent="0.25">
      <c r="A12" s="3" t="s">
        <v>47</v>
      </c>
      <c r="B12" s="3" t="s">
        <v>162</v>
      </c>
      <c r="C12" s="3">
        <v>4928</v>
      </c>
      <c r="D12" s="3">
        <v>237000</v>
      </c>
      <c r="E12" s="3">
        <v>81000</v>
      </c>
      <c r="F12" s="3">
        <v>63000</v>
      </c>
      <c r="G12" s="3">
        <v>13230</v>
      </c>
    </row>
    <row r="13" spans="1:7" x14ac:dyDescent="0.25">
      <c r="A13" s="3" t="s">
        <v>47</v>
      </c>
      <c r="B13" s="3" t="s">
        <v>163</v>
      </c>
      <c r="C13" s="3">
        <v>12533</v>
      </c>
      <c r="D13" s="3">
        <v>561000</v>
      </c>
      <c r="E13" s="3">
        <v>243000</v>
      </c>
      <c r="F13" s="3">
        <v>189000</v>
      </c>
      <c r="G13" s="3">
        <v>39690</v>
      </c>
    </row>
    <row r="14" spans="1:7" x14ac:dyDescent="0.25">
      <c r="A14" s="3" t="s">
        <v>47</v>
      </c>
      <c r="B14" s="3" t="s">
        <v>164</v>
      </c>
      <c r="C14" s="3">
        <v>22625</v>
      </c>
      <c r="D14" s="3">
        <v>1000000</v>
      </c>
      <c r="E14" s="3">
        <v>450000</v>
      </c>
      <c r="F14" s="3">
        <v>350000</v>
      </c>
      <c r="G14" s="3">
        <v>73500</v>
      </c>
    </row>
    <row r="15" spans="1:7" x14ac:dyDescent="0.25">
      <c r="A15" s="3" t="s">
        <v>47</v>
      </c>
      <c r="B15" s="3" t="s">
        <v>165</v>
      </c>
      <c r="C15" s="3">
        <v>34033</v>
      </c>
      <c r="D15" s="3">
        <v>1486000</v>
      </c>
      <c r="E15" s="3">
        <v>693000</v>
      </c>
      <c r="F15" s="3">
        <v>539000</v>
      </c>
      <c r="G15" s="3">
        <v>113190</v>
      </c>
    </row>
    <row r="16" spans="1:7" x14ac:dyDescent="0.25">
      <c r="A16" s="3" t="s">
        <v>47</v>
      </c>
      <c r="B16" s="3" t="s">
        <v>166</v>
      </c>
      <c r="C16" s="3">
        <v>43328</v>
      </c>
      <c r="D16" s="3">
        <v>1882000</v>
      </c>
      <c r="E16" s="3">
        <v>891000</v>
      </c>
      <c r="F16" s="3">
        <v>693000</v>
      </c>
      <c r="G16" s="3">
        <v>145530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27" customWidth="1"/>
    <col min="4" max="4" width="12" customWidth="1"/>
    <col min="5" max="5" width="20" customWidth="1"/>
    <col min="6" max="6" width="24" customWidth="1"/>
    <col min="7" max="7" width="29" customWidth="1"/>
  </cols>
  <sheetData>
    <row r="1" spans="1:7" s="1" customFormat="1" x14ac:dyDescent="0.25">
      <c r="A1" s="2" t="s">
        <v>157</v>
      </c>
      <c r="B1" s="2" t="s">
        <v>158</v>
      </c>
      <c r="C1" s="2" t="s">
        <v>176</v>
      </c>
      <c r="D1" s="2" t="s">
        <v>177</v>
      </c>
      <c r="E1" s="2" t="s">
        <v>104</v>
      </c>
      <c r="F1" s="2" t="s">
        <v>178</v>
      </c>
      <c r="G1" s="2" t="s">
        <v>179</v>
      </c>
    </row>
    <row r="2" spans="1:7" x14ac:dyDescent="0.25">
      <c r="A2" s="3" t="s">
        <v>46</v>
      </c>
      <c r="B2" s="3" t="s">
        <v>162</v>
      </c>
      <c r="C2" s="3">
        <v>581</v>
      </c>
      <c r="D2" s="3">
        <v>30000</v>
      </c>
      <c r="E2" s="3">
        <v>18000</v>
      </c>
      <c r="F2" s="3">
        <v>9000</v>
      </c>
      <c r="G2" s="3">
        <v>52</v>
      </c>
    </row>
    <row r="3" spans="1:7" x14ac:dyDescent="0.25">
      <c r="A3" s="3" t="s">
        <v>46</v>
      </c>
      <c r="B3" s="3" t="s">
        <v>163</v>
      </c>
      <c r="C3" s="3">
        <v>1574</v>
      </c>
      <c r="D3" s="3">
        <v>75000</v>
      </c>
      <c r="E3" s="3">
        <v>72000</v>
      </c>
      <c r="F3" s="3">
        <v>36000</v>
      </c>
      <c r="G3" s="3">
        <v>207</v>
      </c>
    </row>
    <row r="4" spans="1:7" x14ac:dyDescent="0.25">
      <c r="A4" s="3" t="s">
        <v>46</v>
      </c>
      <c r="B4" s="3" t="s">
        <v>164</v>
      </c>
      <c r="C4" s="3">
        <v>2898</v>
      </c>
      <c r="D4" s="3">
        <v>135000</v>
      </c>
      <c r="E4" s="3">
        <v>144000</v>
      </c>
      <c r="F4" s="3">
        <v>72000</v>
      </c>
      <c r="G4" s="3">
        <v>414</v>
      </c>
    </row>
    <row r="5" spans="1:7" x14ac:dyDescent="0.25">
      <c r="A5" s="3" t="s">
        <v>46</v>
      </c>
      <c r="B5" s="3" t="s">
        <v>165</v>
      </c>
      <c r="C5" s="3">
        <v>4223</v>
      </c>
      <c r="D5" s="3">
        <v>195000</v>
      </c>
      <c r="E5" s="3">
        <v>216000</v>
      </c>
      <c r="F5" s="3">
        <v>108000</v>
      </c>
      <c r="G5" s="3">
        <v>621</v>
      </c>
    </row>
    <row r="6" spans="1:7" x14ac:dyDescent="0.25">
      <c r="A6" s="3" t="s">
        <v>46</v>
      </c>
      <c r="B6" s="3" t="s">
        <v>166</v>
      </c>
      <c r="C6" s="3">
        <v>5768</v>
      </c>
      <c r="D6" s="3">
        <v>265000</v>
      </c>
      <c r="E6" s="3">
        <v>300000</v>
      </c>
      <c r="F6" s="3">
        <v>150000</v>
      </c>
      <c r="G6" s="3">
        <v>863</v>
      </c>
    </row>
    <row r="7" spans="1:7" x14ac:dyDescent="0.25">
      <c r="A7" s="3" t="s">
        <v>24</v>
      </c>
      <c r="B7" s="3" t="s">
        <v>162</v>
      </c>
      <c r="C7" s="3">
        <v>2059</v>
      </c>
      <c r="D7" s="3">
        <v>110000</v>
      </c>
      <c r="E7" s="3">
        <v>50000</v>
      </c>
      <c r="F7" s="3">
        <v>30000</v>
      </c>
      <c r="G7" s="3">
        <v>1296</v>
      </c>
    </row>
    <row r="8" spans="1:7" x14ac:dyDescent="0.25">
      <c r="A8" s="3" t="s">
        <v>24</v>
      </c>
      <c r="B8" s="3" t="s">
        <v>163</v>
      </c>
      <c r="C8" s="3">
        <v>5269</v>
      </c>
      <c r="D8" s="3">
        <v>264000</v>
      </c>
      <c r="E8" s="3">
        <v>160000</v>
      </c>
      <c r="F8" s="3">
        <v>96000</v>
      </c>
      <c r="G8" s="3">
        <v>4147</v>
      </c>
    </row>
    <row r="9" spans="1:7" x14ac:dyDescent="0.25">
      <c r="A9" s="3" t="s">
        <v>24</v>
      </c>
      <c r="B9" s="3" t="s">
        <v>164</v>
      </c>
      <c r="C9" s="3">
        <v>8480</v>
      </c>
      <c r="D9" s="3">
        <v>418000</v>
      </c>
      <c r="E9" s="3">
        <v>270000</v>
      </c>
      <c r="F9" s="3">
        <v>162000</v>
      </c>
      <c r="G9" s="3">
        <v>6998</v>
      </c>
    </row>
    <row r="10" spans="1:7" x14ac:dyDescent="0.25">
      <c r="A10" s="3" t="s">
        <v>24</v>
      </c>
      <c r="B10" s="3" t="s">
        <v>165</v>
      </c>
      <c r="C10" s="3">
        <v>12274</v>
      </c>
      <c r="D10" s="3">
        <v>600000</v>
      </c>
      <c r="E10" s="3">
        <v>400000</v>
      </c>
      <c r="F10" s="3">
        <v>240000</v>
      </c>
      <c r="G10" s="3">
        <v>10368</v>
      </c>
    </row>
    <row r="11" spans="1:7" x14ac:dyDescent="0.25">
      <c r="A11" s="3" t="s">
        <v>24</v>
      </c>
      <c r="B11" s="3" t="s">
        <v>166</v>
      </c>
      <c r="C11" s="3">
        <v>16651</v>
      </c>
      <c r="D11" s="3">
        <v>810000</v>
      </c>
      <c r="E11" s="3">
        <v>550000</v>
      </c>
      <c r="F11" s="3">
        <v>330000</v>
      </c>
      <c r="G11" s="3">
        <v>14256</v>
      </c>
    </row>
    <row r="12" spans="1:7" x14ac:dyDescent="0.25">
      <c r="A12" s="3" t="s">
        <v>47</v>
      </c>
      <c r="B12" s="3" t="s">
        <v>162</v>
      </c>
      <c r="C12" s="3">
        <v>4928</v>
      </c>
      <c r="D12" s="3">
        <v>237000</v>
      </c>
      <c r="E12" s="3">
        <v>81000</v>
      </c>
      <c r="F12" s="3">
        <v>63000</v>
      </c>
      <c r="G12" s="3">
        <v>13230</v>
      </c>
    </row>
    <row r="13" spans="1:7" x14ac:dyDescent="0.25">
      <c r="A13" s="3" t="s">
        <v>47</v>
      </c>
      <c r="B13" s="3" t="s">
        <v>163</v>
      </c>
      <c r="C13" s="3">
        <v>12533</v>
      </c>
      <c r="D13" s="3">
        <v>561000</v>
      </c>
      <c r="E13" s="3">
        <v>243000</v>
      </c>
      <c r="F13" s="3">
        <v>189000</v>
      </c>
      <c r="G13" s="3">
        <v>39690</v>
      </c>
    </row>
    <row r="14" spans="1:7" x14ac:dyDescent="0.25">
      <c r="A14" s="3" t="s">
        <v>47</v>
      </c>
      <c r="B14" s="3" t="s">
        <v>164</v>
      </c>
      <c r="C14" s="3">
        <v>22625</v>
      </c>
      <c r="D14" s="3">
        <v>1000000</v>
      </c>
      <c r="E14" s="3">
        <v>450000</v>
      </c>
      <c r="F14" s="3">
        <v>350000</v>
      </c>
      <c r="G14" s="3">
        <v>73500</v>
      </c>
    </row>
    <row r="15" spans="1:7" x14ac:dyDescent="0.25">
      <c r="A15" s="3" t="s">
        <v>47</v>
      </c>
      <c r="B15" s="3" t="s">
        <v>165</v>
      </c>
      <c r="C15" s="3">
        <v>34033</v>
      </c>
      <c r="D15" s="3">
        <v>1486000</v>
      </c>
      <c r="E15" s="3">
        <v>693000</v>
      </c>
      <c r="F15" s="3">
        <v>539000</v>
      </c>
      <c r="G15" s="3">
        <v>113190</v>
      </c>
    </row>
    <row r="16" spans="1:7" x14ac:dyDescent="0.25">
      <c r="A16" s="3" t="s">
        <v>47</v>
      </c>
      <c r="B16" s="3" t="s">
        <v>166</v>
      </c>
      <c r="C16" s="3">
        <v>43328</v>
      </c>
      <c r="D16" s="3">
        <v>1882000</v>
      </c>
      <c r="E16" s="3">
        <v>891000</v>
      </c>
      <c r="F16" s="3">
        <v>693000</v>
      </c>
      <c r="G16" s="3">
        <v>145530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48" customWidth="1"/>
    <col min="4" max="4" width="30" customWidth="1"/>
    <col min="5" max="5" width="48" customWidth="1"/>
  </cols>
  <sheetData>
    <row r="1" spans="1:5" s="1" customFormat="1" x14ac:dyDescent="0.25">
      <c r="A1" s="2" t="s">
        <v>157</v>
      </c>
      <c r="B1" s="2" t="s">
        <v>158</v>
      </c>
      <c r="C1" s="2" t="s">
        <v>180</v>
      </c>
      <c r="D1" s="2" t="s">
        <v>181</v>
      </c>
      <c r="E1" s="2" t="s">
        <v>182</v>
      </c>
    </row>
    <row r="2" spans="1:5" x14ac:dyDescent="0.25">
      <c r="A2" s="3" t="s">
        <v>46</v>
      </c>
      <c r="B2" s="3" t="s">
        <v>162</v>
      </c>
      <c r="C2" s="3">
        <v>4947</v>
      </c>
      <c r="D2" s="3">
        <v>47</v>
      </c>
      <c r="E2" s="3" t="s">
        <v>183</v>
      </c>
    </row>
    <row r="3" spans="1:5" x14ac:dyDescent="0.25">
      <c r="A3" s="3" t="s">
        <v>46</v>
      </c>
      <c r="B3" s="3" t="s">
        <v>163</v>
      </c>
      <c r="C3" s="3">
        <v>14087</v>
      </c>
      <c r="D3" s="3">
        <v>186</v>
      </c>
      <c r="E3" s="3" t="s">
        <v>183</v>
      </c>
    </row>
    <row r="4" spans="1:5" x14ac:dyDescent="0.25">
      <c r="A4" s="3" t="s">
        <v>46</v>
      </c>
      <c r="B4" s="3" t="s">
        <v>164</v>
      </c>
      <c r="C4" s="3">
        <v>26273</v>
      </c>
      <c r="D4" s="3">
        <v>373</v>
      </c>
      <c r="E4" s="3" t="s">
        <v>183</v>
      </c>
    </row>
    <row r="5" spans="1:5" x14ac:dyDescent="0.25">
      <c r="A5" s="3" t="s">
        <v>46</v>
      </c>
      <c r="B5" s="3" t="s">
        <v>165</v>
      </c>
      <c r="C5" s="3">
        <v>38460</v>
      </c>
      <c r="D5" s="3">
        <v>559</v>
      </c>
      <c r="E5" s="3" t="s">
        <v>183</v>
      </c>
    </row>
    <row r="6" spans="1:5" x14ac:dyDescent="0.25">
      <c r="A6" s="3" t="s">
        <v>46</v>
      </c>
      <c r="B6" s="3" t="s">
        <v>166</v>
      </c>
      <c r="C6" s="3">
        <v>52678</v>
      </c>
      <c r="D6" s="3">
        <v>776</v>
      </c>
      <c r="E6" s="3" t="s">
        <v>183</v>
      </c>
    </row>
    <row r="7" spans="1:5" x14ac:dyDescent="0.25">
      <c r="A7" s="3" t="s">
        <v>24</v>
      </c>
      <c r="B7" s="3" t="s">
        <v>162</v>
      </c>
      <c r="C7" s="3">
        <v>45923</v>
      </c>
      <c r="D7" s="3">
        <v>1244</v>
      </c>
      <c r="E7" s="3" t="s">
        <v>183</v>
      </c>
    </row>
    <row r="8" spans="1:5" x14ac:dyDescent="0.25">
      <c r="A8" s="3" t="s">
        <v>24</v>
      </c>
      <c r="B8" s="3" t="s">
        <v>163</v>
      </c>
      <c r="C8" s="3">
        <v>121081</v>
      </c>
      <c r="D8" s="3">
        <v>3981</v>
      </c>
      <c r="E8" s="3" t="s">
        <v>183</v>
      </c>
    </row>
    <row r="9" spans="1:5" x14ac:dyDescent="0.25">
      <c r="A9" s="3" t="s">
        <v>24</v>
      </c>
      <c r="B9" s="3" t="s">
        <v>164</v>
      </c>
      <c r="C9" s="3">
        <v>196239</v>
      </c>
      <c r="D9" s="3">
        <v>6718</v>
      </c>
      <c r="E9" s="3" t="s">
        <v>183</v>
      </c>
    </row>
    <row r="10" spans="1:5" x14ac:dyDescent="0.25">
      <c r="A10" s="3" t="s">
        <v>24</v>
      </c>
      <c r="B10" s="3" t="s">
        <v>165</v>
      </c>
      <c r="C10" s="3">
        <v>285062</v>
      </c>
      <c r="D10" s="3">
        <v>9953</v>
      </c>
      <c r="E10" s="3" t="s">
        <v>183</v>
      </c>
    </row>
    <row r="11" spans="1:5" x14ac:dyDescent="0.25">
      <c r="A11" s="3" t="s">
        <v>24</v>
      </c>
      <c r="B11" s="3" t="s">
        <v>166</v>
      </c>
      <c r="C11" s="3">
        <v>387551</v>
      </c>
      <c r="D11" s="3">
        <v>13686</v>
      </c>
      <c r="E11" s="3" t="s">
        <v>183</v>
      </c>
    </row>
    <row r="12" spans="1:5" x14ac:dyDescent="0.25">
      <c r="A12" s="3" t="s">
        <v>47</v>
      </c>
      <c r="B12" s="3" t="s">
        <v>162</v>
      </c>
      <c r="C12" s="3">
        <v>221859</v>
      </c>
      <c r="D12" s="3">
        <v>12965</v>
      </c>
      <c r="E12" s="3" t="s">
        <v>183</v>
      </c>
    </row>
    <row r="13" spans="1:5" x14ac:dyDescent="0.25">
      <c r="A13" s="3" t="s">
        <v>47</v>
      </c>
      <c r="B13" s="3" t="s">
        <v>163</v>
      </c>
      <c r="C13" s="3">
        <v>576477</v>
      </c>
      <c r="D13" s="3">
        <v>38896</v>
      </c>
      <c r="E13" s="3" t="s">
        <v>183</v>
      </c>
    </row>
    <row r="14" spans="1:5" x14ac:dyDescent="0.25">
      <c r="A14" s="3" t="s">
        <v>47</v>
      </c>
      <c r="B14" s="3" t="s">
        <v>164</v>
      </c>
      <c r="C14" s="3">
        <v>1044450</v>
      </c>
      <c r="D14" s="3">
        <v>72030</v>
      </c>
      <c r="E14" s="3" t="s">
        <v>183</v>
      </c>
    </row>
    <row r="15" spans="1:5" x14ac:dyDescent="0.25">
      <c r="A15" s="3" t="s">
        <v>47</v>
      </c>
      <c r="B15" s="3" t="s">
        <v>165</v>
      </c>
      <c r="C15" s="3">
        <v>1576377</v>
      </c>
      <c r="D15" s="3">
        <v>110926</v>
      </c>
      <c r="E15" s="3" t="s">
        <v>183</v>
      </c>
    </row>
    <row r="16" spans="1:5" x14ac:dyDescent="0.25">
      <c r="A16" s="3" t="s">
        <v>47</v>
      </c>
      <c r="B16" s="3" t="s">
        <v>166</v>
      </c>
      <c r="C16" s="3">
        <v>2009799</v>
      </c>
      <c r="D16" s="3">
        <v>142619</v>
      </c>
      <c r="E16" s="3" t="s">
        <v>183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14" customWidth="1"/>
    <col min="4" max="4" width="34" customWidth="1"/>
    <col min="5" max="5" width="48" customWidth="1"/>
  </cols>
  <sheetData>
    <row r="1" spans="1:5" s="1" customFormat="1" x14ac:dyDescent="0.25">
      <c r="A1" s="2" t="s">
        <v>157</v>
      </c>
      <c r="B1" s="2" t="s">
        <v>158</v>
      </c>
      <c r="C1" s="2" t="s">
        <v>184</v>
      </c>
      <c r="D1" s="2" t="s">
        <v>185</v>
      </c>
      <c r="E1" s="2" t="s">
        <v>186</v>
      </c>
    </row>
    <row r="2" spans="1:5" x14ac:dyDescent="0.25">
      <c r="A2" s="3" t="s">
        <v>46</v>
      </c>
      <c r="B2" s="3" t="s">
        <v>162</v>
      </c>
      <c r="C2" s="3">
        <v>6093</v>
      </c>
      <c r="D2" s="3">
        <v>30000</v>
      </c>
      <c r="E2" s="3">
        <v>-23907</v>
      </c>
    </row>
    <row r="3" spans="1:5" x14ac:dyDescent="0.25">
      <c r="A3" s="3" t="s">
        <v>46</v>
      </c>
      <c r="B3" s="3" t="s">
        <v>163</v>
      </c>
      <c r="C3" s="3">
        <v>15823</v>
      </c>
      <c r="D3" s="3">
        <v>75000</v>
      </c>
      <c r="E3" s="3">
        <v>-59177</v>
      </c>
    </row>
    <row r="4" spans="1:5" x14ac:dyDescent="0.25">
      <c r="A4" s="3" t="s">
        <v>46</v>
      </c>
      <c r="B4" s="3" t="s">
        <v>164</v>
      </c>
      <c r="C4" s="3">
        <v>28796</v>
      </c>
      <c r="D4" s="3">
        <v>135000</v>
      </c>
      <c r="E4" s="3">
        <v>-106204</v>
      </c>
    </row>
    <row r="5" spans="1:5" x14ac:dyDescent="0.25">
      <c r="A5" s="3" t="s">
        <v>46</v>
      </c>
      <c r="B5" s="3" t="s">
        <v>165</v>
      </c>
      <c r="C5" s="3">
        <v>41770</v>
      </c>
      <c r="D5" s="3">
        <v>195000</v>
      </c>
      <c r="E5" s="3">
        <v>-153230</v>
      </c>
    </row>
    <row r="6" spans="1:5" x14ac:dyDescent="0.25">
      <c r="A6" s="3" t="s">
        <v>46</v>
      </c>
      <c r="B6" s="3" t="s">
        <v>166</v>
      </c>
      <c r="C6" s="3">
        <v>56905</v>
      </c>
      <c r="D6" s="3">
        <v>265000</v>
      </c>
      <c r="E6" s="3">
        <v>-208095</v>
      </c>
    </row>
    <row r="7" spans="1:5" x14ac:dyDescent="0.25">
      <c r="A7" s="3" t="s">
        <v>24</v>
      </c>
      <c r="B7" s="3" t="s">
        <v>162</v>
      </c>
      <c r="C7" s="3">
        <v>54978</v>
      </c>
      <c r="D7" s="3">
        <v>110000</v>
      </c>
      <c r="E7" s="3">
        <v>-55022</v>
      </c>
    </row>
    <row r="8" spans="1:5" x14ac:dyDescent="0.25">
      <c r="A8" s="3" t="s">
        <v>24</v>
      </c>
      <c r="B8" s="3" t="s">
        <v>163</v>
      </c>
      <c r="C8" s="3">
        <v>137122</v>
      </c>
      <c r="D8" s="3">
        <v>264000</v>
      </c>
      <c r="E8" s="3">
        <v>-126878</v>
      </c>
    </row>
    <row r="9" spans="1:5" x14ac:dyDescent="0.25">
      <c r="A9" s="3" t="s">
        <v>24</v>
      </c>
      <c r="B9" s="3" t="s">
        <v>164</v>
      </c>
      <c r="C9" s="3">
        <v>219265</v>
      </c>
      <c r="D9" s="3">
        <v>418000</v>
      </c>
      <c r="E9" s="3">
        <v>-198735</v>
      </c>
    </row>
    <row r="10" spans="1:5" x14ac:dyDescent="0.25">
      <c r="A10" s="3" t="s">
        <v>24</v>
      </c>
      <c r="B10" s="3" t="s">
        <v>165</v>
      </c>
      <c r="C10" s="3">
        <v>316344</v>
      </c>
      <c r="D10" s="3">
        <v>600000</v>
      </c>
      <c r="E10" s="3">
        <v>-283656</v>
      </c>
    </row>
    <row r="11" spans="1:5" x14ac:dyDescent="0.25">
      <c r="A11" s="3" t="s">
        <v>24</v>
      </c>
      <c r="B11" s="3" t="s">
        <v>166</v>
      </c>
      <c r="C11" s="3">
        <v>428358</v>
      </c>
      <c r="D11" s="3">
        <v>810000</v>
      </c>
      <c r="E11" s="3">
        <v>-381642</v>
      </c>
    </row>
    <row r="12" spans="1:5" x14ac:dyDescent="0.25">
      <c r="A12" s="3" t="s">
        <v>47</v>
      </c>
      <c r="B12" s="3" t="s">
        <v>162</v>
      </c>
      <c r="C12" s="3">
        <v>265964</v>
      </c>
      <c r="D12" s="3">
        <v>237000</v>
      </c>
      <c r="E12" s="3">
        <v>28964</v>
      </c>
    </row>
    <row r="13" spans="1:5" x14ac:dyDescent="0.25">
      <c r="A13" s="3" t="s">
        <v>47</v>
      </c>
      <c r="B13" s="3" t="s">
        <v>163</v>
      </c>
      <c r="C13" s="3">
        <v>664241</v>
      </c>
      <c r="D13" s="3">
        <v>561000</v>
      </c>
      <c r="E13" s="3">
        <v>103241</v>
      </c>
    </row>
    <row r="14" spans="1:5" x14ac:dyDescent="0.25">
      <c r="A14" s="3" t="s">
        <v>47</v>
      </c>
      <c r="B14" s="3" t="s">
        <v>164</v>
      </c>
      <c r="C14" s="3">
        <v>1195425</v>
      </c>
      <c r="D14" s="3">
        <v>1000000</v>
      </c>
      <c r="E14" s="3">
        <v>195425</v>
      </c>
    </row>
    <row r="15" spans="1:5" x14ac:dyDescent="0.25">
      <c r="A15" s="3" t="s">
        <v>47</v>
      </c>
      <c r="B15" s="3" t="s">
        <v>165</v>
      </c>
      <c r="C15" s="3">
        <v>1792841</v>
      </c>
      <c r="D15" s="3">
        <v>1486000</v>
      </c>
      <c r="E15" s="3">
        <v>306841</v>
      </c>
    </row>
    <row r="16" spans="1:5" x14ac:dyDescent="0.25">
      <c r="A16" s="3" t="s">
        <v>47</v>
      </c>
      <c r="B16" s="3" t="s">
        <v>166</v>
      </c>
      <c r="C16" s="3">
        <v>2279624</v>
      </c>
      <c r="D16" s="3">
        <v>1882000</v>
      </c>
      <c r="E16" s="3">
        <v>397624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16" customWidth="1"/>
    <col min="4" max="4" width="20" customWidth="1"/>
    <col min="5" max="5" width="45" customWidth="1"/>
    <col min="6" max="6" width="43" customWidth="1"/>
  </cols>
  <sheetData>
    <row r="1" spans="1:6" s="1" customFormat="1" x14ac:dyDescent="0.25">
      <c r="A1" s="2" t="s">
        <v>157</v>
      </c>
      <c r="B1" s="2" t="s">
        <v>158</v>
      </c>
      <c r="C1" s="2" t="s">
        <v>187</v>
      </c>
      <c r="D1" s="2" t="s">
        <v>104</v>
      </c>
      <c r="E1" s="2" t="s">
        <v>188</v>
      </c>
      <c r="F1" s="2" t="s">
        <v>189</v>
      </c>
    </row>
    <row r="2" spans="1:6" x14ac:dyDescent="0.25">
      <c r="A2" s="3" t="s">
        <v>46</v>
      </c>
      <c r="B2" s="3" t="s">
        <v>162</v>
      </c>
      <c r="C2" s="3">
        <v>80000</v>
      </c>
      <c r="D2" s="3">
        <v>18000</v>
      </c>
      <c r="E2" s="3">
        <v>62000</v>
      </c>
      <c r="F2" s="3" t="s">
        <v>190</v>
      </c>
    </row>
    <row r="3" spans="1:6" x14ac:dyDescent="0.25">
      <c r="A3" s="3" t="s">
        <v>46</v>
      </c>
      <c r="B3" s="3" t="s">
        <v>163</v>
      </c>
      <c r="C3" s="3">
        <v>170000</v>
      </c>
      <c r="D3" s="3">
        <v>72000</v>
      </c>
      <c r="E3" s="3">
        <v>98000</v>
      </c>
      <c r="F3" s="3" t="s">
        <v>190</v>
      </c>
    </row>
    <row r="4" spans="1:6" x14ac:dyDescent="0.25">
      <c r="A4" s="3" t="s">
        <v>46</v>
      </c>
      <c r="B4" s="3" t="s">
        <v>164</v>
      </c>
      <c r="C4" s="3">
        <v>290000</v>
      </c>
      <c r="D4" s="3">
        <v>144000</v>
      </c>
      <c r="E4" s="3">
        <v>146000</v>
      </c>
      <c r="F4" s="3" t="s">
        <v>190</v>
      </c>
    </row>
    <row r="5" spans="1:6" x14ac:dyDescent="0.25">
      <c r="A5" s="3" t="s">
        <v>46</v>
      </c>
      <c r="B5" s="3" t="s">
        <v>165</v>
      </c>
      <c r="C5" s="3">
        <v>410000</v>
      </c>
      <c r="D5" s="3">
        <v>216000</v>
      </c>
      <c r="E5" s="3">
        <v>194000</v>
      </c>
      <c r="F5" s="3" t="s">
        <v>190</v>
      </c>
    </row>
    <row r="6" spans="1:6" x14ac:dyDescent="0.25">
      <c r="A6" s="3" t="s">
        <v>46</v>
      </c>
      <c r="B6" s="3" t="s">
        <v>166</v>
      </c>
      <c r="C6" s="3">
        <v>550000</v>
      </c>
      <c r="D6" s="3">
        <v>300000</v>
      </c>
      <c r="E6" s="3">
        <v>250000</v>
      </c>
      <c r="F6" s="3" t="s">
        <v>190</v>
      </c>
    </row>
    <row r="7" spans="1:6" x14ac:dyDescent="0.25">
      <c r="A7" s="3" t="s">
        <v>24</v>
      </c>
      <c r="B7" s="3" t="s">
        <v>162</v>
      </c>
      <c r="C7" s="3">
        <v>200000</v>
      </c>
      <c r="D7" s="3">
        <v>50000</v>
      </c>
      <c r="E7" s="3">
        <v>150000</v>
      </c>
      <c r="F7" s="3" t="s">
        <v>190</v>
      </c>
    </row>
    <row r="8" spans="1:6" x14ac:dyDescent="0.25">
      <c r="A8" s="3" t="s">
        <v>24</v>
      </c>
      <c r="B8" s="3" t="s">
        <v>163</v>
      </c>
      <c r="C8" s="3">
        <v>420000</v>
      </c>
      <c r="D8" s="3">
        <v>160000</v>
      </c>
      <c r="E8" s="3">
        <v>260000</v>
      </c>
      <c r="F8" s="3" t="s">
        <v>190</v>
      </c>
    </row>
    <row r="9" spans="1:6" x14ac:dyDescent="0.25">
      <c r="A9" s="3" t="s">
        <v>24</v>
      </c>
      <c r="B9" s="3" t="s">
        <v>164</v>
      </c>
      <c r="C9" s="3">
        <v>640000</v>
      </c>
      <c r="D9" s="3">
        <v>270000</v>
      </c>
      <c r="E9" s="3">
        <v>370000</v>
      </c>
      <c r="F9" s="3" t="s">
        <v>190</v>
      </c>
    </row>
    <row r="10" spans="1:6" x14ac:dyDescent="0.25">
      <c r="A10" s="3" t="s">
        <v>24</v>
      </c>
      <c r="B10" s="3" t="s">
        <v>165</v>
      </c>
      <c r="C10" s="3">
        <v>900000</v>
      </c>
      <c r="D10" s="3">
        <v>400000</v>
      </c>
      <c r="E10" s="3">
        <v>500000</v>
      </c>
      <c r="F10" s="3" t="s">
        <v>190</v>
      </c>
    </row>
    <row r="11" spans="1:6" x14ac:dyDescent="0.25">
      <c r="A11" s="3" t="s">
        <v>24</v>
      </c>
      <c r="B11" s="3" t="s">
        <v>166</v>
      </c>
      <c r="C11" s="3">
        <v>1200000</v>
      </c>
      <c r="D11" s="3">
        <v>550000</v>
      </c>
      <c r="E11" s="3">
        <v>650000</v>
      </c>
      <c r="F11" s="3" t="s">
        <v>190</v>
      </c>
    </row>
    <row r="12" spans="1:6" x14ac:dyDescent="0.25">
      <c r="A12" s="3" t="s">
        <v>47</v>
      </c>
      <c r="B12" s="3" t="s">
        <v>162</v>
      </c>
      <c r="C12" s="3">
        <v>330000</v>
      </c>
      <c r="D12" s="3">
        <v>81000</v>
      </c>
      <c r="E12" s="3">
        <v>249000</v>
      </c>
      <c r="F12" s="3" t="s">
        <v>190</v>
      </c>
    </row>
    <row r="13" spans="1:6" x14ac:dyDescent="0.25">
      <c r="A13" s="3" t="s">
        <v>47</v>
      </c>
      <c r="B13" s="3" t="s">
        <v>163</v>
      </c>
      <c r="C13" s="3">
        <v>690000</v>
      </c>
      <c r="D13" s="3">
        <v>243000</v>
      </c>
      <c r="E13" s="3">
        <v>447000</v>
      </c>
      <c r="F13" s="3" t="s">
        <v>190</v>
      </c>
    </row>
    <row r="14" spans="1:6" x14ac:dyDescent="0.25">
      <c r="A14" s="3" t="s">
        <v>47</v>
      </c>
      <c r="B14" s="3" t="s">
        <v>164</v>
      </c>
      <c r="C14" s="3">
        <v>1200000</v>
      </c>
      <c r="D14" s="3">
        <v>450000</v>
      </c>
      <c r="E14" s="3">
        <v>750000</v>
      </c>
      <c r="F14" s="3" t="s">
        <v>190</v>
      </c>
    </row>
    <row r="15" spans="1:6" x14ac:dyDescent="0.25">
      <c r="A15" s="3" t="s">
        <v>47</v>
      </c>
      <c r="B15" s="3" t="s">
        <v>165</v>
      </c>
      <c r="C15" s="3">
        <v>1740000</v>
      </c>
      <c r="D15" s="3">
        <v>693000</v>
      </c>
      <c r="E15" s="3">
        <v>1047000</v>
      </c>
      <c r="F15" s="3" t="s">
        <v>190</v>
      </c>
    </row>
    <row r="16" spans="1:6" x14ac:dyDescent="0.25">
      <c r="A16" s="3" t="s">
        <v>47</v>
      </c>
      <c r="B16" s="3" t="s">
        <v>166</v>
      </c>
      <c r="C16" s="3">
        <v>2180000</v>
      </c>
      <c r="D16" s="3">
        <v>891000</v>
      </c>
      <c r="E16" s="3">
        <v>1289000</v>
      </c>
      <c r="F16" s="3" t="s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24" customWidth="1"/>
    <col min="4" max="4" width="31" customWidth="1"/>
    <col min="5" max="5" width="32" customWidth="1"/>
    <col min="6" max="6" width="25" customWidth="1"/>
    <col min="7" max="7" width="21" customWidth="1"/>
    <col min="8" max="8" width="18" customWidth="1"/>
  </cols>
  <sheetData>
    <row r="1" spans="1:8" s="1" customFormat="1" x14ac:dyDescent="0.25">
      <c r="A1" s="2" t="s">
        <v>157</v>
      </c>
      <c r="B1" s="2" t="s">
        <v>158</v>
      </c>
      <c r="C1" s="2" t="s">
        <v>191</v>
      </c>
      <c r="D1" s="2" t="s">
        <v>192</v>
      </c>
      <c r="E1" s="2" t="s">
        <v>193</v>
      </c>
      <c r="F1" s="2" t="s">
        <v>194</v>
      </c>
      <c r="G1" s="2" t="s">
        <v>195</v>
      </c>
      <c r="H1" s="2" t="s">
        <v>196</v>
      </c>
    </row>
    <row r="2" spans="1:8" x14ac:dyDescent="0.25">
      <c r="A2" s="3" t="s">
        <v>46</v>
      </c>
      <c r="B2" s="3" t="s">
        <v>162</v>
      </c>
      <c r="C2" s="3">
        <v>104</v>
      </c>
      <c r="D2" s="3">
        <v>104</v>
      </c>
      <c r="E2" s="3">
        <v>98</v>
      </c>
      <c r="F2" s="3">
        <v>52</v>
      </c>
      <c r="G2" s="3">
        <v>47</v>
      </c>
      <c r="H2" s="3">
        <v>0.95</v>
      </c>
    </row>
    <row r="3" spans="1:8" x14ac:dyDescent="0.25">
      <c r="A3" s="3" t="s">
        <v>46</v>
      </c>
      <c r="B3" s="3" t="s">
        <v>163</v>
      </c>
      <c r="C3" s="3">
        <v>414</v>
      </c>
      <c r="D3" s="3">
        <v>414</v>
      </c>
      <c r="E3" s="3">
        <v>393</v>
      </c>
      <c r="F3" s="3">
        <v>207</v>
      </c>
      <c r="G3" s="3">
        <v>186</v>
      </c>
      <c r="H3" s="3">
        <v>0.95</v>
      </c>
    </row>
    <row r="4" spans="1:8" x14ac:dyDescent="0.25">
      <c r="A4" s="3" t="s">
        <v>46</v>
      </c>
      <c r="B4" s="3" t="s">
        <v>164</v>
      </c>
      <c r="C4" s="3">
        <v>828</v>
      </c>
      <c r="D4" s="3">
        <v>828</v>
      </c>
      <c r="E4" s="3">
        <v>787</v>
      </c>
      <c r="F4" s="3">
        <v>414</v>
      </c>
      <c r="G4" s="3">
        <v>373</v>
      </c>
      <c r="H4" s="3">
        <v>0.95</v>
      </c>
    </row>
    <row r="5" spans="1:8" x14ac:dyDescent="0.25">
      <c r="A5" s="3" t="s">
        <v>46</v>
      </c>
      <c r="B5" s="3" t="s">
        <v>165</v>
      </c>
      <c r="C5" s="3">
        <v>1242</v>
      </c>
      <c r="D5" s="3">
        <v>1242</v>
      </c>
      <c r="E5" s="3">
        <v>1180</v>
      </c>
      <c r="F5" s="3">
        <v>621</v>
      </c>
      <c r="G5" s="3">
        <v>559</v>
      </c>
      <c r="H5" s="3">
        <v>0.95</v>
      </c>
    </row>
    <row r="6" spans="1:8" x14ac:dyDescent="0.25">
      <c r="A6" s="3" t="s">
        <v>46</v>
      </c>
      <c r="B6" s="3" t="s">
        <v>166</v>
      </c>
      <c r="C6" s="3">
        <v>1725</v>
      </c>
      <c r="D6" s="3">
        <v>1725</v>
      </c>
      <c r="E6" s="3">
        <v>1639</v>
      </c>
      <c r="F6" s="3">
        <v>863</v>
      </c>
      <c r="G6" s="3">
        <v>776</v>
      </c>
      <c r="H6" s="3">
        <v>0.95</v>
      </c>
    </row>
    <row r="7" spans="1:8" x14ac:dyDescent="0.25">
      <c r="A7" s="3" t="s">
        <v>24</v>
      </c>
      <c r="B7" s="3" t="s">
        <v>162</v>
      </c>
      <c r="C7" s="3">
        <v>2592</v>
      </c>
      <c r="D7" s="3">
        <v>2592</v>
      </c>
      <c r="E7" s="3">
        <v>2540</v>
      </c>
      <c r="F7" s="3">
        <v>1296</v>
      </c>
      <c r="G7" s="3">
        <v>1244</v>
      </c>
      <c r="H7" s="3">
        <v>0.96</v>
      </c>
    </row>
    <row r="8" spans="1:8" x14ac:dyDescent="0.25">
      <c r="A8" s="3" t="s">
        <v>24</v>
      </c>
      <c r="B8" s="3" t="s">
        <v>163</v>
      </c>
      <c r="C8" s="3">
        <v>8294</v>
      </c>
      <c r="D8" s="3">
        <v>8294</v>
      </c>
      <c r="E8" s="3">
        <v>8129</v>
      </c>
      <c r="F8" s="3">
        <v>4147</v>
      </c>
      <c r="G8" s="3">
        <v>3981</v>
      </c>
      <c r="H8" s="3">
        <v>0.96</v>
      </c>
    </row>
    <row r="9" spans="1:8" x14ac:dyDescent="0.25">
      <c r="A9" s="3" t="s">
        <v>24</v>
      </c>
      <c r="B9" s="3" t="s">
        <v>164</v>
      </c>
      <c r="C9" s="3">
        <v>13997</v>
      </c>
      <c r="D9" s="3">
        <v>13997</v>
      </c>
      <c r="E9" s="3">
        <v>13717</v>
      </c>
      <c r="F9" s="3">
        <v>6998</v>
      </c>
      <c r="G9" s="3">
        <v>6718</v>
      </c>
      <c r="H9" s="3">
        <v>0.96</v>
      </c>
    </row>
    <row r="10" spans="1:8" x14ac:dyDescent="0.25">
      <c r="A10" s="3" t="s">
        <v>24</v>
      </c>
      <c r="B10" s="3" t="s">
        <v>165</v>
      </c>
      <c r="C10" s="3">
        <v>20736</v>
      </c>
      <c r="D10" s="3">
        <v>20736</v>
      </c>
      <c r="E10" s="3">
        <v>20321</v>
      </c>
      <c r="F10" s="3">
        <v>10368</v>
      </c>
      <c r="G10" s="3">
        <v>9953</v>
      </c>
      <c r="H10" s="3">
        <v>0.96</v>
      </c>
    </row>
    <row r="11" spans="1:8" x14ac:dyDescent="0.25">
      <c r="A11" s="3" t="s">
        <v>24</v>
      </c>
      <c r="B11" s="3" t="s">
        <v>166</v>
      </c>
      <c r="C11" s="3">
        <v>28512</v>
      </c>
      <c r="D11" s="3">
        <v>28512</v>
      </c>
      <c r="E11" s="3">
        <v>27942</v>
      </c>
      <c r="F11" s="3">
        <v>14256</v>
      </c>
      <c r="G11" s="3">
        <v>13686</v>
      </c>
      <c r="H11" s="3">
        <v>0.96</v>
      </c>
    </row>
    <row r="12" spans="1:8" x14ac:dyDescent="0.25">
      <c r="A12" s="3" t="s">
        <v>47</v>
      </c>
      <c r="B12" s="3" t="s">
        <v>162</v>
      </c>
      <c r="C12" s="3">
        <v>26460</v>
      </c>
      <c r="D12" s="3">
        <v>26460</v>
      </c>
      <c r="E12" s="3">
        <v>26195</v>
      </c>
      <c r="F12" s="3">
        <v>13230</v>
      </c>
      <c r="G12" s="3">
        <v>12965</v>
      </c>
      <c r="H12" s="3">
        <v>0.97</v>
      </c>
    </row>
    <row r="13" spans="1:8" x14ac:dyDescent="0.25">
      <c r="A13" s="3" t="s">
        <v>47</v>
      </c>
      <c r="B13" s="3" t="s">
        <v>163</v>
      </c>
      <c r="C13" s="3">
        <v>79380</v>
      </c>
      <c r="D13" s="3">
        <v>79380</v>
      </c>
      <c r="E13" s="3">
        <v>78586</v>
      </c>
      <c r="F13" s="3">
        <v>39690</v>
      </c>
      <c r="G13" s="3">
        <v>38896</v>
      </c>
      <c r="H13" s="3">
        <v>0.97</v>
      </c>
    </row>
    <row r="14" spans="1:8" x14ac:dyDescent="0.25">
      <c r="A14" s="3" t="s">
        <v>47</v>
      </c>
      <c r="B14" s="3" t="s">
        <v>164</v>
      </c>
      <c r="C14" s="3">
        <v>147000</v>
      </c>
      <c r="D14" s="3">
        <v>147000</v>
      </c>
      <c r="E14" s="3">
        <v>145530</v>
      </c>
      <c r="F14" s="3">
        <v>73500</v>
      </c>
      <c r="G14" s="3">
        <v>72030</v>
      </c>
      <c r="H14" s="3">
        <v>0.97</v>
      </c>
    </row>
    <row r="15" spans="1:8" x14ac:dyDescent="0.25">
      <c r="A15" s="3" t="s">
        <v>47</v>
      </c>
      <c r="B15" s="3" t="s">
        <v>165</v>
      </c>
      <c r="C15" s="3">
        <v>226380</v>
      </c>
      <c r="D15" s="3">
        <v>226380</v>
      </c>
      <c r="E15" s="3">
        <v>224116</v>
      </c>
      <c r="F15" s="3">
        <v>113190</v>
      </c>
      <c r="G15" s="3">
        <v>110926</v>
      </c>
      <c r="H15" s="3">
        <v>0.97</v>
      </c>
    </row>
    <row r="16" spans="1:8" x14ac:dyDescent="0.25">
      <c r="A16" s="3" t="s">
        <v>47</v>
      </c>
      <c r="B16" s="3" t="s">
        <v>166</v>
      </c>
      <c r="C16" s="3">
        <v>291060</v>
      </c>
      <c r="D16" s="3">
        <v>291060</v>
      </c>
      <c r="E16" s="3">
        <v>288149</v>
      </c>
      <c r="F16" s="3">
        <v>145530</v>
      </c>
      <c r="G16" s="3">
        <v>142619</v>
      </c>
      <c r="H16" s="3">
        <v>0.97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23" customWidth="1"/>
    <col min="4" max="4" width="24" customWidth="1"/>
    <col min="5" max="5" width="12" customWidth="1"/>
    <col min="6" max="6" width="20" customWidth="1"/>
    <col min="7" max="7" width="12" customWidth="1"/>
    <col min="8" max="9" width="48" customWidth="1"/>
  </cols>
  <sheetData>
    <row r="1" spans="1:9" s="1" customFormat="1" x14ac:dyDescent="0.25">
      <c r="A1" s="2" t="s">
        <v>157</v>
      </c>
      <c r="B1" s="2" t="s">
        <v>158</v>
      </c>
      <c r="C1" s="2" t="s">
        <v>173</v>
      </c>
      <c r="D1" s="2" t="s">
        <v>174</v>
      </c>
      <c r="E1" s="2" t="s">
        <v>177</v>
      </c>
      <c r="F1" s="2" t="s">
        <v>104</v>
      </c>
      <c r="G1" s="2" t="s">
        <v>107</v>
      </c>
      <c r="H1" s="2" t="s">
        <v>197</v>
      </c>
      <c r="I1" s="2" t="s">
        <v>16</v>
      </c>
    </row>
    <row r="2" spans="1:9" x14ac:dyDescent="0.25">
      <c r="A2" s="3" t="s">
        <v>46</v>
      </c>
      <c r="B2" s="3" t="s">
        <v>162</v>
      </c>
      <c r="C2" s="3">
        <v>11621</v>
      </c>
      <c r="D2" s="3">
        <v>11040</v>
      </c>
      <c r="E2" s="3">
        <v>30000</v>
      </c>
      <c r="F2" s="3">
        <v>18000</v>
      </c>
      <c r="G2" s="3">
        <v>9000</v>
      </c>
      <c r="H2" s="3">
        <v>-45960</v>
      </c>
      <c r="I2" s="3" t="s">
        <v>198</v>
      </c>
    </row>
    <row r="3" spans="1:9" x14ac:dyDescent="0.25">
      <c r="A3" s="3" t="s">
        <v>46</v>
      </c>
      <c r="B3" s="3" t="s">
        <v>163</v>
      </c>
      <c r="C3" s="3">
        <v>31484</v>
      </c>
      <c r="D3" s="3">
        <v>29910</v>
      </c>
      <c r="E3" s="3">
        <v>75000</v>
      </c>
      <c r="F3" s="3">
        <v>72000</v>
      </c>
      <c r="G3" s="3">
        <v>36000</v>
      </c>
      <c r="H3" s="3">
        <v>-153090</v>
      </c>
      <c r="I3" s="3" t="s">
        <v>198</v>
      </c>
    </row>
    <row r="4" spans="1:9" x14ac:dyDescent="0.25">
      <c r="A4" s="3" t="s">
        <v>46</v>
      </c>
      <c r="B4" s="3" t="s">
        <v>164</v>
      </c>
      <c r="C4" s="3">
        <v>57968</v>
      </c>
      <c r="D4" s="3">
        <v>55070</v>
      </c>
      <c r="E4" s="3">
        <v>135000</v>
      </c>
      <c r="F4" s="3">
        <v>144000</v>
      </c>
      <c r="G4" s="3">
        <v>72000</v>
      </c>
      <c r="H4" s="3">
        <v>-295930</v>
      </c>
      <c r="I4" s="3" t="s">
        <v>198</v>
      </c>
    </row>
    <row r="5" spans="1:9" x14ac:dyDescent="0.25">
      <c r="A5" s="3" t="s">
        <v>46</v>
      </c>
      <c r="B5" s="3" t="s">
        <v>165</v>
      </c>
      <c r="C5" s="3">
        <v>84452</v>
      </c>
      <c r="D5" s="3">
        <v>80229</v>
      </c>
      <c r="E5" s="3">
        <v>195000</v>
      </c>
      <c r="F5" s="3">
        <v>216000</v>
      </c>
      <c r="G5" s="3">
        <v>108000</v>
      </c>
      <c r="H5" s="3">
        <v>-438771</v>
      </c>
      <c r="I5" s="3" t="s">
        <v>198</v>
      </c>
    </row>
    <row r="6" spans="1:9" x14ac:dyDescent="0.25">
      <c r="A6" s="3" t="s">
        <v>46</v>
      </c>
      <c r="B6" s="3" t="s">
        <v>166</v>
      </c>
      <c r="C6" s="3">
        <v>115350</v>
      </c>
      <c r="D6" s="3">
        <v>109583</v>
      </c>
      <c r="E6" s="3">
        <v>265000</v>
      </c>
      <c r="F6" s="3">
        <v>300000</v>
      </c>
      <c r="G6" s="3">
        <v>150000</v>
      </c>
      <c r="H6" s="3">
        <v>-605417</v>
      </c>
      <c r="I6" s="3" t="s">
        <v>198</v>
      </c>
    </row>
    <row r="7" spans="1:9" x14ac:dyDescent="0.25">
      <c r="A7" s="3" t="s">
        <v>24</v>
      </c>
      <c r="B7" s="3" t="s">
        <v>162</v>
      </c>
      <c r="C7" s="3">
        <v>102960</v>
      </c>
      <c r="D7" s="3">
        <v>100901</v>
      </c>
      <c r="E7" s="3">
        <v>110000</v>
      </c>
      <c r="F7" s="3">
        <v>50000</v>
      </c>
      <c r="G7" s="3">
        <v>30000</v>
      </c>
      <c r="H7" s="3">
        <v>-89099</v>
      </c>
      <c r="I7" s="3" t="s">
        <v>198</v>
      </c>
    </row>
    <row r="8" spans="1:9" x14ac:dyDescent="0.25">
      <c r="A8" s="3" t="s">
        <v>24</v>
      </c>
      <c r="B8" s="3" t="s">
        <v>163</v>
      </c>
      <c r="C8" s="3">
        <v>263472</v>
      </c>
      <c r="D8" s="3">
        <v>258203</v>
      </c>
      <c r="E8" s="3">
        <v>264000</v>
      </c>
      <c r="F8" s="3">
        <v>160000</v>
      </c>
      <c r="G8" s="3">
        <v>96000</v>
      </c>
      <c r="H8" s="3">
        <v>-261797</v>
      </c>
      <c r="I8" s="3" t="s">
        <v>198</v>
      </c>
    </row>
    <row r="9" spans="1:9" x14ac:dyDescent="0.25">
      <c r="A9" s="3" t="s">
        <v>24</v>
      </c>
      <c r="B9" s="3" t="s">
        <v>164</v>
      </c>
      <c r="C9" s="3">
        <v>423984</v>
      </c>
      <c r="D9" s="3">
        <v>415504</v>
      </c>
      <c r="E9" s="3">
        <v>418000</v>
      </c>
      <c r="F9" s="3">
        <v>270000</v>
      </c>
      <c r="G9" s="3">
        <v>162000</v>
      </c>
      <c r="H9" s="3">
        <v>-434496</v>
      </c>
      <c r="I9" s="3" t="s">
        <v>198</v>
      </c>
    </row>
    <row r="10" spans="1:9" x14ac:dyDescent="0.25">
      <c r="A10" s="3" t="s">
        <v>24</v>
      </c>
      <c r="B10" s="3" t="s">
        <v>165</v>
      </c>
      <c r="C10" s="3">
        <v>613680</v>
      </c>
      <c r="D10" s="3">
        <v>601406</v>
      </c>
      <c r="E10" s="3">
        <v>600000</v>
      </c>
      <c r="F10" s="3">
        <v>400000</v>
      </c>
      <c r="G10" s="3">
        <v>240000</v>
      </c>
      <c r="H10" s="3">
        <v>-638594</v>
      </c>
      <c r="I10" s="3" t="s">
        <v>198</v>
      </c>
    </row>
    <row r="11" spans="1:9" x14ac:dyDescent="0.25">
      <c r="A11" s="3" t="s">
        <v>24</v>
      </c>
      <c r="B11" s="3" t="s">
        <v>166</v>
      </c>
      <c r="C11" s="3">
        <v>832560</v>
      </c>
      <c r="D11" s="3">
        <v>815909</v>
      </c>
      <c r="E11" s="3">
        <v>810000</v>
      </c>
      <c r="F11" s="3">
        <v>550000</v>
      </c>
      <c r="G11" s="3">
        <v>330000</v>
      </c>
      <c r="H11" s="3">
        <v>-874091</v>
      </c>
      <c r="I11" s="3" t="s">
        <v>198</v>
      </c>
    </row>
    <row r="12" spans="1:9" x14ac:dyDescent="0.25">
      <c r="A12" s="3" t="s">
        <v>47</v>
      </c>
      <c r="B12" s="3" t="s">
        <v>162</v>
      </c>
      <c r="C12" s="3">
        <v>492750</v>
      </c>
      <c r="D12" s="3">
        <v>487823</v>
      </c>
      <c r="E12" s="3">
        <v>237000</v>
      </c>
      <c r="F12" s="3">
        <v>81000</v>
      </c>
      <c r="G12" s="3">
        <v>63000</v>
      </c>
      <c r="H12" s="3">
        <v>106823</v>
      </c>
      <c r="I12" s="3" t="s">
        <v>198</v>
      </c>
    </row>
    <row r="13" spans="1:9" x14ac:dyDescent="0.25">
      <c r="A13" s="3" t="s">
        <v>47</v>
      </c>
      <c r="B13" s="3" t="s">
        <v>163</v>
      </c>
      <c r="C13" s="3">
        <v>1253250</v>
      </c>
      <c r="D13" s="3">
        <v>1240718</v>
      </c>
      <c r="E13" s="3">
        <v>561000</v>
      </c>
      <c r="F13" s="3">
        <v>243000</v>
      </c>
      <c r="G13" s="3">
        <v>189000</v>
      </c>
      <c r="H13" s="3">
        <v>247718</v>
      </c>
      <c r="I13" s="3" t="s">
        <v>198</v>
      </c>
    </row>
    <row r="14" spans="1:9" x14ac:dyDescent="0.25">
      <c r="A14" s="3" t="s">
        <v>47</v>
      </c>
      <c r="B14" s="3" t="s">
        <v>164</v>
      </c>
      <c r="C14" s="3">
        <v>2262500</v>
      </c>
      <c r="D14" s="3">
        <v>2239875</v>
      </c>
      <c r="E14" s="3">
        <v>1000000</v>
      </c>
      <c r="F14" s="3">
        <v>450000</v>
      </c>
      <c r="G14" s="3">
        <v>350000</v>
      </c>
      <c r="H14" s="3">
        <v>439875</v>
      </c>
      <c r="I14" s="3" t="s">
        <v>198</v>
      </c>
    </row>
    <row r="15" spans="1:9" x14ac:dyDescent="0.25">
      <c r="A15" s="3" t="s">
        <v>47</v>
      </c>
      <c r="B15" s="3" t="s">
        <v>165</v>
      </c>
      <c r="C15" s="3">
        <v>3403250</v>
      </c>
      <c r="D15" s="3">
        <v>3369218</v>
      </c>
      <c r="E15" s="3">
        <v>1486000</v>
      </c>
      <c r="F15" s="3">
        <v>693000</v>
      </c>
      <c r="G15" s="3">
        <v>539000</v>
      </c>
      <c r="H15" s="3">
        <v>651218</v>
      </c>
      <c r="I15" s="3" t="s">
        <v>198</v>
      </c>
    </row>
    <row r="16" spans="1:9" x14ac:dyDescent="0.25">
      <c r="A16" s="3" t="s">
        <v>47</v>
      </c>
      <c r="B16" s="3" t="s">
        <v>166</v>
      </c>
      <c r="C16" s="3">
        <v>4332750</v>
      </c>
      <c r="D16" s="3">
        <v>4289423</v>
      </c>
      <c r="E16" s="3">
        <v>1882000</v>
      </c>
      <c r="F16" s="3">
        <v>891000</v>
      </c>
      <c r="G16" s="3">
        <v>693000</v>
      </c>
      <c r="H16" s="3">
        <v>823423</v>
      </c>
      <c r="I16" s="3" t="s">
        <v>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3" width="12" customWidth="1"/>
    <col min="4" max="4" width="30" customWidth="1"/>
    <col min="5" max="5" width="24" customWidth="1"/>
    <col min="6" max="7" width="12" customWidth="1"/>
  </cols>
  <sheetData>
    <row r="1" spans="1:7" s="1" customFormat="1" x14ac:dyDescent="0.25">
      <c r="A1" s="2" t="s">
        <v>157</v>
      </c>
      <c r="B1" s="2" t="s">
        <v>158</v>
      </c>
      <c r="C1" s="2" t="s">
        <v>199</v>
      </c>
      <c r="D1" s="2" t="s">
        <v>200</v>
      </c>
      <c r="E1" s="2" t="s">
        <v>201</v>
      </c>
      <c r="F1" s="2" t="s">
        <v>202</v>
      </c>
      <c r="G1" s="2" t="s">
        <v>203</v>
      </c>
    </row>
    <row r="2" spans="1:7" x14ac:dyDescent="0.25">
      <c r="A2" s="3" t="s">
        <v>46</v>
      </c>
      <c r="B2" s="3" t="s">
        <v>162</v>
      </c>
      <c r="C2" s="3">
        <v>11621</v>
      </c>
      <c r="D2" s="3">
        <v>57000</v>
      </c>
      <c r="E2" s="3">
        <v>-45960</v>
      </c>
      <c r="F2" s="3" t="s">
        <v>16</v>
      </c>
      <c r="G2" s="3" t="s">
        <v>16</v>
      </c>
    </row>
    <row r="3" spans="1:7" x14ac:dyDescent="0.25">
      <c r="A3" s="3" t="s">
        <v>46</v>
      </c>
      <c r="B3" s="3" t="s">
        <v>163</v>
      </c>
      <c r="C3" s="3">
        <v>31484</v>
      </c>
      <c r="D3" s="3">
        <v>183000</v>
      </c>
      <c r="E3" s="3">
        <v>-153090</v>
      </c>
      <c r="F3" s="3" t="s">
        <v>16</v>
      </c>
      <c r="G3" s="3" t="s">
        <v>16</v>
      </c>
    </row>
    <row r="4" spans="1:7" x14ac:dyDescent="0.25">
      <c r="A4" s="3" t="s">
        <v>46</v>
      </c>
      <c r="B4" s="3" t="s">
        <v>164</v>
      </c>
      <c r="C4" s="3">
        <v>57968</v>
      </c>
      <c r="D4" s="3">
        <v>351000</v>
      </c>
      <c r="E4" s="3">
        <v>-295930</v>
      </c>
      <c r="F4" s="3" t="s">
        <v>16</v>
      </c>
      <c r="G4" s="3" t="s">
        <v>16</v>
      </c>
    </row>
    <row r="5" spans="1:7" x14ac:dyDescent="0.25">
      <c r="A5" s="3" t="s">
        <v>46</v>
      </c>
      <c r="B5" s="3" t="s">
        <v>165</v>
      </c>
      <c r="C5" s="3">
        <v>84452</v>
      </c>
      <c r="D5" s="3">
        <v>519000</v>
      </c>
      <c r="E5" s="3">
        <v>-438771</v>
      </c>
      <c r="F5" s="3" t="s">
        <v>16</v>
      </c>
      <c r="G5" s="3" t="s">
        <v>16</v>
      </c>
    </row>
    <row r="6" spans="1:7" x14ac:dyDescent="0.25">
      <c r="A6" s="3" t="s">
        <v>46</v>
      </c>
      <c r="B6" s="3" t="s">
        <v>166</v>
      </c>
      <c r="C6" s="3">
        <v>115350</v>
      </c>
      <c r="D6" s="3">
        <v>715000</v>
      </c>
      <c r="E6" s="3">
        <v>-605417</v>
      </c>
      <c r="F6" s="3" t="s">
        <v>16</v>
      </c>
      <c r="G6" s="3" t="s">
        <v>16</v>
      </c>
    </row>
    <row r="7" spans="1:7" x14ac:dyDescent="0.25">
      <c r="A7" s="3" t="s">
        <v>24</v>
      </c>
      <c r="B7" s="3" t="s">
        <v>162</v>
      </c>
      <c r="C7" s="3">
        <v>102960</v>
      </c>
      <c r="D7" s="3">
        <v>190000</v>
      </c>
      <c r="E7" s="3">
        <v>-89099</v>
      </c>
      <c r="F7" s="3" t="s">
        <v>16</v>
      </c>
      <c r="G7" s="3" t="s">
        <v>16</v>
      </c>
    </row>
    <row r="8" spans="1:7" x14ac:dyDescent="0.25">
      <c r="A8" s="3" t="s">
        <v>24</v>
      </c>
      <c r="B8" s="3" t="s">
        <v>163</v>
      </c>
      <c r="C8" s="3">
        <v>263472</v>
      </c>
      <c r="D8" s="3">
        <v>520000</v>
      </c>
      <c r="E8" s="3">
        <v>-261797</v>
      </c>
      <c r="F8" s="3" t="s">
        <v>16</v>
      </c>
      <c r="G8" s="3" t="s">
        <v>16</v>
      </c>
    </row>
    <row r="9" spans="1:7" x14ac:dyDescent="0.25">
      <c r="A9" s="3" t="s">
        <v>24</v>
      </c>
      <c r="B9" s="3" t="s">
        <v>164</v>
      </c>
      <c r="C9" s="3">
        <v>423984</v>
      </c>
      <c r="D9" s="3">
        <v>850000</v>
      </c>
      <c r="E9" s="3">
        <v>-434496</v>
      </c>
      <c r="F9" s="3" t="s">
        <v>16</v>
      </c>
      <c r="G9" s="3" t="s">
        <v>16</v>
      </c>
    </row>
    <row r="10" spans="1:7" x14ac:dyDescent="0.25">
      <c r="A10" s="3" t="s">
        <v>24</v>
      </c>
      <c r="B10" s="3" t="s">
        <v>165</v>
      </c>
      <c r="C10" s="3">
        <v>613680</v>
      </c>
      <c r="D10" s="3">
        <v>1240000</v>
      </c>
      <c r="E10" s="3">
        <v>-638594</v>
      </c>
      <c r="F10" s="3" t="s">
        <v>16</v>
      </c>
      <c r="G10" s="3" t="s">
        <v>16</v>
      </c>
    </row>
    <row r="11" spans="1:7" x14ac:dyDescent="0.25">
      <c r="A11" s="3" t="s">
        <v>24</v>
      </c>
      <c r="B11" s="3" t="s">
        <v>166</v>
      </c>
      <c r="C11" s="3">
        <v>832560</v>
      </c>
      <c r="D11" s="3">
        <v>1690000</v>
      </c>
      <c r="E11" s="3">
        <v>-874091</v>
      </c>
      <c r="F11" s="3" t="s">
        <v>16</v>
      </c>
      <c r="G11" s="3" t="s">
        <v>16</v>
      </c>
    </row>
    <row r="12" spans="1:7" x14ac:dyDescent="0.25">
      <c r="A12" s="3" t="s">
        <v>47</v>
      </c>
      <c r="B12" s="3" t="s">
        <v>162</v>
      </c>
      <c r="C12" s="3">
        <v>492750</v>
      </c>
      <c r="D12" s="3">
        <v>381000</v>
      </c>
      <c r="E12" s="3">
        <v>106823</v>
      </c>
      <c r="F12" s="3" t="s">
        <v>16</v>
      </c>
      <c r="G12" s="3" t="s">
        <v>16</v>
      </c>
    </row>
    <row r="13" spans="1:7" x14ac:dyDescent="0.25">
      <c r="A13" s="3" t="s">
        <v>47</v>
      </c>
      <c r="B13" s="3" t="s">
        <v>163</v>
      </c>
      <c r="C13" s="3">
        <v>1253250</v>
      </c>
      <c r="D13" s="3">
        <v>993000</v>
      </c>
      <c r="E13" s="3">
        <v>247718</v>
      </c>
      <c r="F13" s="3" t="s">
        <v>16</v>
      </c>
      <c r="G13" s="3" t="s">
        <v>16</v>
      </c>
    </row>
    <row r="14" spans="1:7" x14ac:dyDescent="0.25">
      <c r="A14" s="3" t="s">
        <v>47</v>
      </c>
      <c r="B14" s="3" t="s">
        <v>164</v>
      </c>
      <c r="C14" s="3">
        <v>2262500</v>
      </c>
      <c r="D14" s="3">
        <v>1800000</v>
      </c>
      <c r="E14" s="3">
        <v>439875</v>
      </c>
      <c r="F14" s="3" t="s">
        <v>16</v>
      </c>
      <c r="G14" s="3" t="s">
        <v>16</v>
      </c>
    </row>
    <row r="15" spans="1:7" x14ac:dyDescent="0.25">
      <c r="A15" s="3" t="s">
        <v>47</v>
      </c>
      <c r="B15" s="3" t="s">
        <v>165</v>
      </c>
      <c r="C15" s="3">
        <v>3403250</v>
      </c>
      <c r="D15" s="3">
        <v>2718000</v>
      </c>
      <c r="E15" s="3">
        <v>651218</v>
      </c>
      <c r="F15" s="3" t="s">
        <v>16</v>
      </c>
      <c r="G15" s="3" t="s">
        <v>16</v>
      </c>
    </row>
    <row r="16" spans="1:7" x14ac:dyDescent="0.25">
      <c r="A16" s="3" t="s">
        <v>47</v>
      </c>
      <c r="B16" s="3" t="s">
        <v>166</v>
      </c>
      <c r="C16" s="3">
        <v>4332750</v>
      </c>
      <c r="D16" s="3">
        <v>3466000</v>
      </c>
      <c r="E16" s="3">
        <v>823423</v>
      </c>
      <c r="F16" s="3" t="s">
        <v>16</v>
      </c>
      <c r="G16" s="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2" width="12" customWidth="1"/>
    <col min="3" max="3" width="32" customWidth="1"/>
    <col min="4" max="4" width="42" customWidth="1"/>
    <col min="5" max="5" width="25" customWidth="1"/>
    <col min="6" max="6" width="48" customWidth="1"/>
  </cols>
  <sheetData>
    <row r="1" spans="1:6" s="1" customFormat="1" x14ac:dyDescent="0.25">
      <c r="A1" s="2" t="s">
        <v>157</v>
      </c>
      <c r="B1" s="2" t="s">
        <v>158</v>
      </c>
      <c r="C1" s="2" t="s">
        <v>204</v>
      </c>
      <c r="D1" s="2" t="s">
        <v>205</v>
      </c>
      <c r="E1" s="2" t="s">
        <v>206</v>
      </c>
      <c r="F1" s="2" t="s">
        <v>207</v>
      </c>
    </row>
    <row r="2" spans="1:6" x14ac:dyDescent="0.25">
      <c r="A2" s="3" t="s">
        <v>46</v>
      </c>
      <c r="B2" s="3" t="s">
        <v>162</v>
      </c>
      <c r="C2" s="3">
        <v>11040</v>
      </c>
      <c r="D2" s="3">
        <v>57000</v>
      </c>
      <c r="E2" s="3">
        <v>-45960</v>
      </c>
      <c r="F2" s="3" t="s">
        <v>208</v>
      </c>
    </row>
    <row r="3" spans="1:6" x14ac:dyDescent="0.25">
      <c r="A3" s="3" t="s">
        <v>46</v>
      </c>
      <c r="B3" s="3" t="s">
        <v>163</v>
      </c>
      <c r="C3" s="3">
        <v>29910</v>
      </c>
      <c r="D3" s="3">
        <v>183000</v>
      </c>
      <c r="E3" s="3">
        <v>-153090</v>
      </c>
      <c r="F3" s="3" t="s">
        <v>208</v>
      </c>
    </row>
    <row r="4" spans="1:6" x14ac:dyDescent="0.25">
      <c r="A4" s="3" t="s">
        <v>46</v>
      </c>
      <c r="B4" s="3" t="s">
        <v>164</v>
      </c>
      <c r="C4" s="3">
        <v>55070</v>
      </c>
      <c r="D4" s="3">
        <v>351000</v>
      </c>
      <c r="E4" s="3">
        <v>-295930</v>
      </c>
      <c r="F4" s="3" t="s">
        <v>208</v>
      </c>
    </row>
    <row r="5" spans="1:6" x14ac:dyDescent="0.25">
      <c r="A5" s="3" t="s">
        <v>46</v>
      </c>
      <c r="B5" s="3" t="s">
        <v>165</v>
      </c>
      <c r="C5" s="3">
        <v>80229</v>
      </c>
      <c r="D5" s="3">
        <v>519000</v>
      </c>
      <c r="E5" s="3">
        <v>-438771</v>
      </c>
      <c r="F5" s="3" t="s">
        <v>208</v>
      </c>
    </row>
    <row r="6" spans="1:6" x14ac:dyDescent="0.25">
      <c r="A6" s="3" t="s">
        <v>46</v>
      </c>
      <c r="B6" s="3" t="s">
        <v>166</v>
      </c>
      <c r="C6" s="3">
        <v>109583</v>
      </c>
      <c r="D6" s="3">
        <v>715000</v>
      </c>
      <c r="E6" s="3">
        <v>-605417</v>
      </c>
      <c r="F6" s="3" t="s">
        <v>208</v>
      </c>
    </row>
    <row r="7" spans="1:6" x14ac:dyDescent="0.25">
      <c r="A7" s="3" t="s">
        <v>24</v>
      </c>
      <c r="B7" s="3" t="s">
        <v>162</v>
      </c>
      <c r="C7" s="3">
        <v>100901</v>
      </c>
      <c r="D7" s="3">
        <v>190000</v>
      </c>
      <c r="E7" s="3">
        <v>-89099</v>
      </c>
      <c r="F7" s="3" t="s">
        <v>208</v>
      </c>
    </row>
    <row r="8" spans="1:6" x14ac:dyDescent="0.25">
      <c r="A8" s="3" t="s">
        <v>24</v>
      </c>
      <c r="B8" s="3" t="s">
        <v>163</v>
      </c>
      <c r="C8" s="3">
        <v>258203</v>
      </c>
      <c r="D8" s="3">
        <v>520000</v>
      </c>
      <c r="E8" s="3">
        <v>-261797</v>
      </c>
      <c r="F8" s="3" t="s">
        <v>208</v>
      </c>
    </row>
    <row r="9" spans="1:6" x14ac:dyDescent="0.25">
      <c r="A9" s="3" t="s">
        <v>24</v>
      </c>
      <c r="B9" s="3" t="s">
        <v>164</v>
      </c>
      <c r="C9" s="3">
        <v>415504</v>
      </c>
      <c r="D9" s="3">
        <v>850000</v>
      </c>
      <c r="E9" s="3">
        <v>-434496</v>
      </c>
      <c r="F9" s="3" t="s">
        <v>208</v>
      </c>
    </row>
    <row r="10" spans="1:6" x14ac:dyDescent="0.25">
      <c r="A10" s="3" t="s">
        <v>24</v>
      </c>
      <c r="B10" s="3" t="s">
        <v>165</v>
      </c>
      <c r="C10" s="3">
        <v>601406</v>
      </c>
      <c r="D10" s="3">
        <v>1240000</v>
      </c>
      <c r="E10" s="3">
        <v>-638594</v>
      </c>
      <c r="F10" s="3" t="s">
        <v>208</v>
      </c>
    </row>
    <row r="11" spans="1:6" x14ac:dyDescent="0.25">
      <c r="A11" s="3" t="s">
        <v>24</v>
      </c>
      <c r="B11" s="3" t="s">
        <v>166</v>
      </c>
      <c r="C11" s="3">
        <v>815909</v>
      </c>
      <c r="D11" s="3">
        <v>1690000</v>
      </c>
      <c r="E11" s="3">
        <v>-874091</v>
      </c>
      <c r="F11" s="3" t="s">
        <v>208</v>
      </c>
    </row>
    <row r="12" spans="1:6" x14ac:dyDescent="0.25">
      <c r="A12" s="3" t="s">
        <v>47</v>
      </c>
      <c r="B12" s="3" t="s">
        <v>162</v>
      </c>
      <c r="C12" s="3">
        <v>487823</v>
      </c>
      <c r="D12" s="3">
        <v>381000</v>
      </c>
      <c r="E12" s="3">
        <v>106823</v>
      </c>
      <c r="F12" s="3" t="s">
        <v>208</v>
      </c>
    </row>
    <row r="13" spans="1:6" x14ac:dyDescent="0.25">
      <c r="A13" s="3" t="s">
        <v>47</v>
      </c>
      <c r="B13" s="3" t="s">
        <v>163</v>
      </c>
      <c r="C13" s="3">
        <v>1240718</v>
      </c>
      <c r="D13" s="3">
        <v>993000</v>
      </c>
      <c r="E13" s="3">
        <v>247718</v>
      </c>
      <c r="F13" s="3" t="s">
        <v>208</v>
      </c>
    </row>
    <row r="14" spans="1:6" x14ac:dyDescent="0.25">
      <c r="A14" s="3" t="s">
        <v>47</v>
      </c>
      <c r="B14" s="3" t="s">
        <v>164</v>
      </c>
      <c r="C14" s="3">
        <v>2239875</v>
      </c>
      <c r="D14" s="3">
        <v>1800000</v>
      </c>
      <c r="E14" s="3">
        <v>439875</v>
      </c>
      <c r="F14" s="3" t="s">
        <v>208</v>
      </c>
    </row>
    <row r="15" spans="1:6" x14ac:dyDescent="0.25">
      <c r="A15" s="3" t="s">
        <v>47</v>
      </c>
      <c r="B15" s="3" t="s">
        <v>165</v>
      </c>
      <c r="C15" s="3">
        <v>3369218</v>
      </c>
      <c r="D15" s="3">
        <v>2718000</v>
      </c>
      <c r="E15" s="3">
        <v>651218</v>
      </c>
      <c r="F15" s="3" t="s">
        <v>208</v>
      </c>
    </row>
    <row r="16" spans="1:6" x14ac:dyDescent="0.25">
      <c r="A16" s="3" t="s">
        <v>47</v>
      </c>
      <c r="B16" s="3" t="s">
        <v>166</v>
      </c>
      <c r="C16" s="3">
        <v>4289423</v>
      </c>
      <c r="D16" s="3">
        <v>3466000</v>
      </c>
      <c r="E16" s="3">
        <v>823423</v>
      </c>
      <c r="F16" s="3" t="s">
        <v>208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0" customWidth="1"/>
    <col min="2" max="2" width="12" customWidth="1"/>
    <col min="3" max="3" width="48" customWidth="1"/>
  </cols>
  <sheetData>
    <row r="1" spans="1:3" s="1" customFormat="1" x14ac:dyDescent="0.25">
      <c r="A1" s="2" t="s">
        <v>209</v>
      </c>
      <c r="B1" s="2" t="s">
        <v>22</v>
      </c>
      <c r="C1" s="2" t="s">
        <v>210</v>
      </c>
    </row>
    <row r="2" spans="1:3" x14ac:dyDescent="0.25">
      <c r="A2" s="3" t="s">
        <v>211</v>
      </c>
      <c r="B2" s="3" t="s">
        <v>16</v>
      </c>
      <c r="C2" s="3" t="s">
        <v>212</v>
      </c>
    </row>
    <row r="3" spans="1:3" x14ac:dyDescent="0.25">
      <c r="A3" s="3" t="s">
        <v>213</v>
      </c>
      <c r="B3" s="3" t="s">
        <v>16</v>
      </c>
      <c r="C3" s="3" t="s">
        <v>214</v>
      </c>
    </row>
    <row r="4" spans="1:3" x14ac:dyDescent="0.25">
      <c r="A4" s="3" t="s">
        <v>215</v>
      </c>
      <c r="B4" s="3" t="s">
        <v>16</v>
      </c>
      <c r="C4" s="3" t="s">
        <v>216</v>
      </c>
    </row>
    <row r="5" spans="1:3" x14ac:dyDescent="0.25">
      <c r="A5" s="3" t="s">
        <v>217</v>
      </c>
      <c r="B5" s="3" t="s">
        <v>218</v>
      </c>
      <c r="C5" s="3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0" customWidth="1"/>
    <col min="2" max="2" width="12" customWidth="1"/>
    <col min="3" max="3" width="48" customWidth="1"/>
  </cols>
  <sheetData>
    <row r="1" spans="1:3" s="1" customFormat="1" x14ac:dyDescent="0.25">
      <c r="A1" s="2" t="s">
        <v>220</v>
      </c>
      <c r="B1" s="2" t="s">
        <v>22</v>
      </c>
      <c r="C1" s="2" t="s">
        <v>221</v>
      </c>
    </row>
    <row r="2" spans="1:3" x14ac:dyDescent="0.25">
      <c r="A2" s="3" t="s">
        <v>222</v>
      </c>
      <c r="B2" s="3" t="s">
        <v>223</v>
      </c>
      <c r="C2" s="3" t="s">
        <v>224</v>
      </c>
    </row>
    <row r="3" spans="1:3" x14ac:dyDescent="0.25">
      <c r="A3" s="3" t="s">
        <v>225</v>
      </c>
      <c r="B3" s="3" t="s">
        <v>223</v>
      </c>
      <c r="C3" s="3" t="s">
        <v>226</v>
      </c>
    </row>
    <row r="4" spans="1:3" x14ac:dyDescent="0.25">
      <c r="A4" s="3" t="s">
        <v>227</v>
      </c>
      <c r="B4" s="3" t="s">
        <v>223</v>
      </c>
      <c r="C4" s="3" t="s">
        <v>228</v>
      </c>
    </row>
    <row r="5" spans="1:3" x14ac:dyDescent="0.25">
      <c r="A5" s="3" t="s">
        <v>229</v>
      </c>
      <c r="B5" s="3" t="s">
        <v>223</v>
      </c>
      <c r="C5" s="3" t="s">
        <v>230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14" customWidth="1"/>
    <col min="2" max="3" width="21" customWidth="1"/>
    <col min="4" max="5" width="24" customWidth="1"/>
    <col min="6" max="7" width="22" customWidth="1"/>
    <col min="8" max="8" width="30" customWidth="1"/>
    <col min="9" max="9" width="34" customWidth="1"/>
  </cols>
  <sheetData>
    <row r="1" spans="1:9" s="1" customFormat="1" x14ac:dyDescent="0.25">
      <c r="A1" s="2" t="s">
        <v>157</v>
      </c>
      <c r="B1" s="2" t="s">
        <v>231</v>
      </c>
      <c r="C1" s="2" t="s">
        <v>232</v>
      </c>
      <c r="D1" s="2" t="s">
        <v>233</v>
      </c>
      <c r="E1" s="2" t="s">
        <v>234</v>
      </c>
      <c r="F1" s="2" t="s">
        <v>235</v>
      </c>
      <c r="G1" s="2" t="s">
        <v>236</v>
      </c>
      <c r="H1" s="2" t="s">
        <v>237</v>
      </c>
      <c r="I1" s="2" t="s">
        <v>238</v>
      </c>
    </row>
    <row r="2" spans="1:9" x14ac:dyDescent="0.25">
      <c r="A2" s="3" t="s">
        <v>46</v>
      </c>
      <c r="B2" s="3">
        <v>1</v>
      </c>
      <c r="C2" s="3">
        <v>5</v>
      </c>
      <c r="D2" s="3">
        <v>2</v>
      </c>
      <c r="E2" s="3">
        <v>10</v>
      </c>
      <c r="F2" s="3">
        <v>414</v>
      </c>
      <c r="G2" s="3">
        <v>6900</v>
      </c>
      <c r="H2" s="3">
        <v>115350</v>
      </c>
      <c r="I2" s="3">
        <v>-605417</v>
      </c>
    </row>
    <row r="3" spans="1:9" x14ac:dyDescent="0.25">
      <c r="A3" s="3" t="s">
        <v>24</v>
      </c>
      <c r="B3" s="3">
        <v>2</v>
      </c>
      <c r="C3" s="3">
        <v>10</v>
      </c>
      <c r="D3" s="3">
        <v>6</v>
      </c>
      <c r="E3" s="3">
        <v>30</v>
      </c>
      <c r="F3" s="3">
        <v>6480</v>
      </c>
      <c r="G3" s="3">
        <v>71280</v>
      </c>
      <c r="H3" s="3">
        <v>832560</v>
      </c>
      <c r="I3" s="3">
        <v>-874091</v>
      </c>
    </row>
    <row r="4" spans="1:9" x14ac:dyDescent="0.25">
      <c r="A4" s="3" t="s">
        <v>47</v>
      </c>
      <c r="B4" s="3">
        <v>3</v>
      </c>
      <c r="C4" s="3">
        <v>18</v>
      </c>
      <c r="D4" s="3">
        <v>15</v>
      </c>
      <c r="E4" s="3">
        <v>90</v>
      </c>
      <c r="F4" s="3">
        <v>44100</v>
      </c>
      <c r="G4" s="3">
        <v>485100</v>
      </c>
      <c r="H4" s="3">
        <v>4332750</v>
      </c>
      <c r="I4" s="3">
        <v>823423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6" customWidth="1"/>
    <col min="2" max="2" width="45" customWidth="1"/>
    <col min="3" max="3" width="48" customWidth="1"/>
  </cols>
  <sheetData>
    <row r="1" spans="1:3" s="1" customFormat="1" x14ac:dyDescent="0.25">
      <c r="A1" s="2" t="s">
        <v>209</v>
      </c>
      <c r="B1" s="2" t="s">
        <v>1</v>
      </c>
      <c r="C1" s="2" t="s">
        <v>221</v>
      </c>
    </row>
    <row r="2" spans="1:3" x14ac:dyDescent="0.25">
      <c r="A2" s="3" t="s">
        <v>239</v>
      </c>
      <c r="B2" s="3" t="s">
        <v>240</v>
      </c>
      <c r="C2" s="3" t="s">
        <v>29</v>
      </c>
    </row>
    <row r="3" spans="1:3" x14ac:dyDescent="0.25">
      <c r="A3" s="3" t="s">
        <v>241</v>
      </c>
      <c r="B3" s="3">
        <v>832560</v>
      </c>
      <c r="C3" s="3" t="s">
        <v>242</v>
      </c>
    </row>
    <row r="4" spans="1:3" x14ac:dyDescent="0.25">
      <c r="A4" s="3" t="s">
        <v>243</v>
      </c>
      <c r="B4" s="3">
        <v>-874091</v>
      </c>
      <c r="C4" s="3" t="s">
        <v>244</v>
      </c>
    </row>
    <row r="5" spans="1:3" x14ac:dyDescent="0.25">
      <c r="A5" s="3" t="s">
        <v>245</v>
      </c>
      <c r="B5" s="3">
        <v>4332750</v>
      </c>
      <c r="C5" s="3" t="s">
        <v>242</v>
      </c>
    </row>
    <row r="6" spans="1:3" x14ac:dyDescent="0.25">
      <c r="A6" s="3" t="s">
        <v>246</v>
      </c>
      <c r="B6" s="3">
        <v>823423</v>
      </c>
      <c r="C6" s="3" t="s">
        <v>244</v>
      </c>
    </row>
    <row r="7" spans="1:3" x14ac:dyDescent="0.25">
      <c r="A7" s="3" t="s">
        <v>247</v>
      </c>
      <c r="B7" s="3">
        <v>8</v>
      </c>
      <c r="C7" s="3" t="s">
        <v>248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4" customWidth="1"/>
    <col min="2" max="2" width="12" customWidth="1"/>
    <col min="3" max="3" width="48" customWidth="1"/>
  </cols>
  <sheetData>
    <row r="1" spans="1:3" s="1" customFormat="1" x14ac:dyDescent="0.25">
      <c r="A1" s="2" t="s">
        <v>249</v>
      </c>
      <c r="B1" s="2" t="s">
        <v>22</v>
      </c>
      <c r="C1" s="2" t="s">
        <v>221</v>
      </c>
    </row>
    <row r="2" spans="1:3" x14ac:dyDescent="0.25">
      <c r="A2" s="3" t="s">
        <v>250</v>
      </c>
      <c r="B2" s="3" t="s">
        <v>251</v>
      </c>
      <c r="C2" s="3" t="s">
        <v>252</v>
      </c>
    </row>
    <row r="3" spans="1:3" x14ac:dyDescent="0.25">
      <c r="A3" s="3" t="s">
        <v>253</v>
      </c>
      <c r="B3" s="3" t="s">
        <v>251</v>
      </c>
      <c r="C3" s="3" t="s">
        <v>254</v>
      </c>
    </row>
    <row r="4" spans="1:3" x14ac:dyDescent="0.25">
      <c r="A4" s="3" t="s">
        <v>255</v>
      </c>
      <c r="B4" s="3" t="s">
        <v>251</v>
      </c>
      <c r="C4" s="3" t="s">
        <v>256</v>
      </c>
    </row>
    <row r="5" spans="1:3" x14ac:dyDescent="0.25">
      <c r="A5" s="3" t="s">
        <v>257</v>
      </c>
      <c r="B5" s="3" t="s">
        <v>251</v>
      </c>
      <c r="C5" s="3" t="s">
        <v>258</v>
      </c>
    </row>
    <row r="6" spans="1:3" x14ac:dyDescent="0.25">
      <c r="A6" s="3" t="s">
        <v>259</v>
      </c>
      <c r="B6" s="3" t="s">
        <v>251</v>
      </c>
      <c r="C6" s="3" t="s">
        <v>260</v>
      </c>
    </row>
    <row r="7" spans="1:3" x14ac:dyDescent="0.25">
      <c r="A7" s="3" t="s">
        <v>261</v>
      </c>
      <c r="B7" s="3" t="s">
        <v>251</v>
      </c>
      <c r="C7" s="3" t="s">
        <v>262</v>
      </c>
    </row>
    <row r="8" spans="1:3" x14ac:dyDescent="0.25">
      <c r="A8" s="3" t="s">
        <v>263</v>
      </c>
      <c r="B8" s="3" t="s">
        <v>251</v>
      </c>
      <c r="C8" s="3" t="s">
        <v>264</v>
      </c>
    </row>
    <row r="9" spans="1:3" x14ac:dyDescent="0.25">
      <c r="A9" s="3" t="s">
        <v>265</v>
      </c>
      <c r="B9" s="3" t="s">
        <v>251</v>
      </c>
      <c r="C9" s="3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3" customWidth="1"/>
    <col min="2" max="2" width="48" customWidth="1"/>
    <col min="3" max="3" width="39" customWidth="1"/>
    <col min="4" max="4" width="48" customWidth="1"/>
  </cols>
  <sheetData>
    <row r="1" spans="1:4" s="1" customFormat="1" x14ac:dyDescent="0.25">
      <c r="A1" s="2" t="s">
        <v>267</v>
      </c>
      <c r="B1" s="2" t="s">
        <v>268</v>
      </c>
      <c r="C1" s="2" t="s">
        <v>269</v>
      </c>
      <c r="D1" s="2" t="s">
        <v>270</v>
      </c>
    </row>
    <row r="2" spans="1:4" x14ac:dyDescent="0.25">
      <c r="A2" s="3" t="s">
        <v>271</v>
      </c>
      <c r="B2" s="3" t="s">
        <v>272</v>
      </c>
      <c r="C2" s="3" t="s">
        <v>273</v>
      </c>
      <c r="D2" s="3" t="s">
        <v>274</v>
      </c>
    </row>
    <row r="3" spans="1:4" x14ac:dyDescent="0.25">
      <c r="A3" s="3" t="s">
        <v>275</v>
      </c>
      <c r="B3" s="3" t="s">
        <v>276</v>
      </c>
      <c r="C3" s="3" t="s">
        <v>277</v>
      </c>
      <c r="D3" s="3" t="s">
        <v>278</v>
      </c>
    </row>
    <row r="4" spans="1:4" x14ac:dyDescent="0.25">
      <c r="A4" s="3" t="s">
        <v>279</v>
      </c>
      <c r="B4" s="3" t="s">
        <v>280</v>
      </c>
      <c r="C4" s="3" t="s">
        <v>277</v>
      </c>
      <c r="D4" s="3" t="s">
        <v>281</v>
      </c>
    </row>
    <row r="5" spans="1:4" x14ac:dyDescent="0.25">
      <c r="A5" s="3" t="s">
        <v>282</v>
      </c>
      <c r="B5" s="3" t="s">
        <v>283</v>
      </c>
      <c r="C5" s="3" t="s">
        <v>277</v>
      </c>
      <c r="D5" s="3" t="s">
        <v>284</v>
      </c>
    </row>
    <row r="6" spans="1:4" x14ac:dyDescent="0.25">
      <c r="A6" s="3" t="s">
        <v>285</v>
      </c>
      <c r="B6" s="3" t="s">
        <v>286</v>
      </c>
      <c r="C6" s="3" t="s">
        <v>277</v>
      </c>
      <c r="D6" s="3" t="s">
        <v>287</v>
      </c>
    </row>
    <row r="7" spans="1:4" x14ac:dyDescent="0.25">
      <c r="A7" s="3" t="s">
        <v>288</v>
      </c>
      <c r="B7" s="3" t="s">
        <v>289</v>
      </c>
      <c r="C7" s="3" t="s">
        <v>277</v>
      </c>
      <c r="D7" s="3" t="s">
        <v>290</v>
      </c>
    </row>
    <row r="8" spans="1:4" x14ac:dyDescent="0.25">
      <c r="A8" s="3" t="s">
        <v>16</v>
      </c>
      <c r="B8" s="3" t="s">
        <v>291</v>
      </c>
      <c r="C8" s="3" t="s">
        <v>273</v>
      </c>
      <c r="D8" s="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00_Read_Me</vt:lpstr>
      <vt:lpstr>01_Control</vt:lpstr>
      <vt:lpstr>02_Assumptions</vt:lpstr>
      <vt:lpstr>03_Assumption_Map</vt:lpstr>
      <vt:lpstr>04_Adoption</vt:lpstr>
      <vt:lpstr>05_Disbursement_Activity</vt:lpstr>
      <vt:lpstr>06_Pricing</vt:lpstr>
      <vt:lpstr>07_Revenue</vt:lpstr>
      <vt:lpstr>08_Cost_of_Sales</vt:lpstr>
      <vt:lpstr>09_Operating_Expenses</vt:lpstr>
      <vt:lpstr>10_Rural_Bank_View</vt:lpstr>
      <vt:lpstr>11_ODTI_View</vt:lpstr>
      <vt:lpstr>12_DevOps_View</vt:lpstr>
      <vt:lpstr>13_Notification_Variant</vt:lpstr>
      <vt:lpstr>14_Consolidated_View</vt:lpstr>
      <vt:lpstr>15_Profit_and_Loss</vt:lpstr>
      <vt:lpstr>16_Cash_Flow</vt:lpstr>
      <vt:lpstr>17_Capital_Budgeting</vt:lpstr>
      <vt:lpstr>18_Sensitivity</vt:lpstr>
      <vt:lpstr>19_Scenarios</vt:lpstr>
      <vt:lpstr>20_Dashboard</vt:lpstr>
      <vt:lpstr>21_Checks</vt:lpstr>
      <vt:lpstr>22_Source_Lineage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x-commerce</dc:creator>
  <dc:title/>
  <dc:subject/>
  <dc:description/>
  <cp:keywords/>
  <cp:category/>
  <cp:lastModifiedBy>x-commerce</cp:lastModifiedBy>
  <dcterms:created xsi:type="dcterms:W3CDTF">2026-07-14T16:00:00Z</dcterms:created>
  <dcterms:modified xsi:type="dcterms:W3CDTF">2026-07-14T16:00:00Z</dcterms:modified>
</cp:coreProperties>
</file>