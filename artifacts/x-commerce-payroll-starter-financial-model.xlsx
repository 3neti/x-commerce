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0_Read_Me" state="visible" r:id="rId4"/>
    <sheet sheetId="2" name="01_Control" state="visible" r:id="rId5"/>
    <sheet sheetId="3" name="02_Assumptions" state="visible" r:id="rId6"/>
    <sheet sheetId="4" name="03_Assumption_Map" state="visible" r:id="rId7"/>
    <sheet sheetId="5" name="04_Adoption" state="visible" r:id="rId8"/>
    <sheet sheetId="6" name="05_Payroll_Activity" state="visible" r:id="rId9"/>
    <sheet sheetId="7" name="21_Checks" state="visible" r:id="rId10"/>
    <sheet sheetId="8" name="06_Pricing" state="visible" r:id="rId11"/>
    <sheet sheetId="9" name="07_Revenue" state="visible" r:id="rId12"/>
    <sheet sheetId="10" name="10_Rural_Bank_View" state="visible" r:id="rId13"/>
    <sheet sheetId="11" name="11_ODTI_View" state="visible" r:id="rId14"/>
    <sheet sheetId="12" name="12_DevOps_View" state="visible" r:id="rId15"/>
    <sheet sheetId="13" name="13_SMS_Variant" state="visible" r:id="rId16"/>
    <sheet sheetId="14" name="14_Consolidated_View" state="visible" r:id="rId17"/>
    <sheet sheetId="15" name="08_Cost_of_Sales" state="visible" r:id="rId18"/>
    <sheet sheetId="16" name="09_Operating_Expenses" state="visible" r:id="rId19"/>
    <sheet sheetId="17" name="15_Profit_and_Loss" state="visible" r:id="rId20"/>
    <sheet sheetId="18" name="16_Cash_Flow" state="visible" r:id="rId21"/>
    <sheet sheetId="19" name="17_Capital_Budgeting" state="visible" r:id="rId22"/>
    <sheet sheetId="20" name="18_Sensitivity" state="visible" r:id="rId23"/>
    <sheet sheetId="21" name="19_Scenarios" state="visible" r:id="rId24"/>
    <sheet sheetId="22" name="20_Dashboard" state="visible" r:id="rId25"/>
    <sheet sheetId="23" name="22_Source_Lineage" state="visible" r:id="rId26"/>
  </sheets>
  <definedNames>
    <definedName name="ScenarioSelected">'01_Control'!$B$2</definedName>
    <definedName name="VolumeMethod">'01_Control'!$B$7</definedName>
    <definedName name="AssumptionTable">'02_Assumptions'!$A$1:$M$200</definedName>
    <definedName name="VOL_001_Derived">'05_Payroll_Activity'!$C$2:$G$2</definedName>
    <definedName name="AnnualSuccessfulTransactions">'05_Payroll_Activity'!$C$3:$G$3</definedName>
  </definedNames>
  <calcPr calcId="171027" fullCalcOnLoad="1"/>
</workbook>
</file>

<file path=xl/sharedStrings.xml><?xml version="1.0" encoding="utf-8"?>
<sst xmlns="http://schemas.openxmlformats.org/spreadsheetml/2006/main" count="2159" uniqueCount="656">
  <si>
    <t>Payroll Starter Financial Model</t>
  </si>
  <si>
    <t>Level 1 Controlled Placeholder Model</t>
  </si>
  <si>
    <t/>
  </si>
  <si>
    <t>Warning</t>
  </si>
  <si>
    <t>This workbook uses provisional management candidates and controlled placeholders. It is not an approved budget, forecast, provider quote, institutional commitment, contract, regulatory filing, investment representation, or factual operating result.</t>
  </si>
  <si>
    <t>Revenue warning</t>
  </si>
  <si>
    <t>Stakeholder revenue figures include internal transfers and are not additive. Consolidated External Revenue counts external inflows once.</t>
  </si>
  <si>
    <t>Canonical sources</t>
  </si>
  <si>
    <t>provisionalInputs</t>
  </si>
  <si>
    <t>docs/economics/offerings/rural-bank-payroll-starter/provisional-input-register-level-1.md</t>
  </si>
  <si>
    <t>level1Model</t>
  </si>
  <si>
    <t>docs/economics/offerings/rural-bank-payroll-starter/offering-economics-level-1.md</t>
  </si>
  <si>
    <t>summary</t>
  </si>
  <si>
    <t>docs/economics/offerings/rural-bank-payroll-starter/five-year-revenue-projection-summary.md</t>
  </si>
  <si>
    <t>specification</t>
  </si>
  <si>
    <t>docs/economics/offerings/rural-bank-payroll-starter/spreadsheet-financial-model.md</t>
  </si>
  <si>
    <t>Slice 2 sheets</t>
  </si>
  <si>
    <t>00_Read_Me</t>
  </si>
  <si>
    <t>01_Control</t>
  </si>
  <si>
    <t>02_Assumptions</t>
  </si>
  <si>
    <t>03_Assumption_Map</t>
  </si>
  <si>
    <t>04_Adoption</t>
  </si>
  <si>
    <t>05_Payroll_Activity</t>
  </si>
  <si>
    <t>21_Checks</t>
  </si>
  <si>
    <t>Control</t>
  </si>
  <si>
    <t>Default</t>
  </si>
  <si>
    <t>Allowed values</t>
  </si>
  <si>
    <t>Notes</t>
  </si>
  <si>
    <t>Selected scenario</t>
  </si>
  <si>
    <t>Base</t>
  </si>
  <si>
    <t>Conservative, Base, Accelerated</t>
  </si>
  <si>
    <t>Data validation to be added in workbook implementation.</t>
  </si>
  <si>
    <t>Model start year</t>
  </si>
  <si>
    <t>Year 1</t>
  </si>
  <si>
    <t>Fixed for Level 1.</t>
  </si>
  <si>
    <t>Projection horizon</t>
  </si>
  <si>
    <t>5</t>
  </si>
  <si>
    <t>Include optional SMS</t>
  </si>
  <si>
    <t>No</t>
  </si>
  <si>
    <t>Yes, No</t>
  </si>
  <si>
    <t>Core Payroll remains primary.</t>
  </si>
  <si>
    <t>Cost view</t>
  </si>
  <si>
    <t>Incremental Payroll</t>
  </si>
  <si>
    <t>Incremental Payroll, Full-Cost Stress Test</t>
  </si>
  <si>
    <t>Shared allocation deferred.</t>
  </si>
  <si>
    <t>Volume method</t>
  </si>
  <si>
    <t>Component-derived</t>
  </si>
  <si>
    <t>Aggregate volume disabled until authorized.</t>
  </si>
  <si>
    <t>Discount rate</t>
  </si>
  <si>
    <t>Blocked</t>
  </si>
  <si>
    <t>Future FIN-001 needed.</t>
  </si>
  <si>
    <t>Model version</t>
  </si>
  <si>
    <t>Level 1</t>
  </si>
  <si>
    <t>Must match canonical documents.</t>
  </si>
  <si>
    <t>Provisional Input ID</t>
  </si>
  <si>
    <t>Assumption ID or source</t>
  </si>
  <si>
    <t>Description</t>
  </si>
  <si>
    <t>Input Type</t>
  </si>
  <si>
    <t>Year</t>
  </si>
  <si>
    <t>Conservative</t>
  </si>
  <si>
    <t>Accelerated</t>
  </si>
  <si>
    <t>Selected Scenario Value</t>
  </si>
  <si>
    <t>Current Status</t>
  </si>
  <si>
    <t>Evidence Status</t>
  </si>
  <si>
    <t>Input Classification</t>
  </si>
  <si>
    <t>Source</t>
  </si>
  <si>
    <t>PI-L1-001</t>
  </si>
  <si>
    <t>ADP-001</t>
  </si>
  <si>
    <t>Newly onboarded banks during year</t>
  </si>
  <si>
    <t>yearVector</t>
  </si>
  <si>
    <t>Provisional</t>
  </si>
  <si>
    <t>Internal management candidate; not evidence-supported</t>
  </si>
  <si>
    <t>Controlled placeholder</t>
  </si>
  <si>
    <t>Year 2</t>
  </si>
  <si>
    <t>Year 3</t>
  </si>
  <si>
    <t>Year 4</t>
  </si>
  <si>
    <t>Year 5</t>
  </si>
  <si>
    <t>PI-L1-002</t>
  </si>
  <si>
    <t>ADP-002</t>
  </si>
  <si>
    <t>Active banks during year</t>
  </si>
  <si>
    <t>PI-L1-003</t>
  </si>
  <si>
    <t>ADP-003</t>
  </si>
  <si>
    <t>Weighted average active months per active bank</t>
  </si>
  <si>
    <t>PI-L1-004</t>
  </si>
  <si>
    <t>CUS-001</t>
  </si>
  <si>
    <t>Payroll customers per active bank</t>
  </si>
  <si>
    <t>scalar</t>
  </si>
  <si>
    <t>All</t>
  </si>
  <si>
    <t>PI-L1-005</t>
  </si>
  <si>
    <t>CUS-002</t>
  </si>
  <si>
    <t>Payroll runs per customer per month</t>
  </si>
  <si>
    <t>PI-L1-006</t>
  </si>
  <si>
    <t>CUS-003</t>
  </si>
  <si>
    <t>Recipients per payroll run</t>
  </si>
  <si>
    <t>PI-L1-007</t>
  </si>
  <si>
    <t>VOL-002</t>
  </si>
  <si>
    <t>Successful completion rate</t>
  </si>
  <si>
    <t>PI-L1-008</t>
  </si>
  <si>
    <t>VOL-001</t>
  </si>
  <si>
    <t>Successful payroll transactions per active bank per month</t>
  </si>
  <si>
    <t>derived</t>
  </si>
  <si>
    <t>CUS-001 x CUS-002 x CUS-003 x VOL-002</t>
  </si>
  <si>
    <t>Derived</t>
  </si>
  <si>
    <t>Calculated from component assumptions</t>
  </si>
  <si>
    <t>Derived input</t>
  </si>
  <si>
    <t>PI-L1-009</t>
  </si>
  <si>
    <t>EMP-001</t>
  </si>
  <si>
    <t>Employer onboarding fee</t>
  </si>
  <si>
    <t>PI-L1-010</t>
  </si>
  <si>
    <t>EMP-002</t>
  </si>
  <si>
    <t>Employer monthly payroll-service fee</t>
  </si>
  <si>
    <t>PI-L1-011</t>
  </si>
  <si>
    <t>LIC-004</t>
  </si>
  <si>
    <t>Rural-bank platform activation fee</t>
  </si>
  <si>
    <t>PI-L1-012</t>
  </si>
  <si>
    <t>LIC-005</t>
  </si>
  <si>
    <t>Annual platform subscription</t>
  </si>
  <si>
    <t>PI-L1-013</t>
  </si>
  <si>
    <t>PRC-001</t>
  </si>
  <si>
    <t>Fee per successful recipient disbursement</t>
  </si>
  <si>
    <t>PI-L1-014</t>
  </si>
  <si>
    <t>RB-001</t>
  </si>
  <si>
    <t>Rural-bank retained amount per successful recipient disbursement</t>
  </si>
  <si>
    <t>PI-L1-015</t>
  </si>
  <si>
    <t>Decision 0003</t>
  </si>
  <si>
    <t>EMP-001 split</t>
  </si>
  <si>
    <t>decision</t>
  </si>
  <si>
    <t>ruralBank 40% / odti 60%</t>
  </si>
  <si>
    <t>Decision-backed provisional input</t>
  </si>
  <si>
    <t>docs/decisions/0003-payroll-starter-economic-treatment.md</t>
  </si>
  <si>
    <t>PI-L1-016</t>
  </si>
  <si>
    <t>EMP-002 split</t>
  </si>
  <si>
    <t>ruralBank 60% / odti 40%</t>
  </si>
  <si>
    <t>PI-L1-017</t>
  </si>
  <si>
    <t>ODTI-001</t>
  </si>
  <si>
    <t>Payroll-specific ODTI support cost per active bank-month</t>
  </si>
  <si>
    <t>PI-L1-018</t>
  </si>
  <si>
    <t>ODTI-002</t>
  </si>
  <si>
    <t>Payroll-specific ODTI implementation cost per newly onboarded bank</t>
  </si>
  <si>
    <t>PI-L1-019</t>
  </si>
  <si>
    <t>OPS-001</t>
  </si>
  <si>
    <t>DevOps setup fee per bank deployment</t>
  </si>
  <si>
    <t>PI-L1-020</t>
  </si>
  <si>
    <t>OPS-002</t>
  </si>
  <si>
    <t>DevOps monthly managed operations fee per active bank-month</t>
  </si>
  <si>
    <t>PI-L1-021</t>
  </si>
  <si>
    <t>OPS-003</t>
  </si>
  <si>
    <t>DevOps direct recurring cost per active bank-month</t>
  </si>
  <si>
    <t>PI-L1-022</t>
  </si>
  <si>
    <t>CLD-001</t>
  </si>
  <si>
    <t>Public-cloud cost per active bank-month</t>
  </si>
  <si>
    <t>PI-L1-023</t>
  </si>
  <si>
    <t>RISK-002</t>
  </si>
  <si>
    <t>Non-collection rate on employer commercial fees</t>
  </si>
  <si>
    <t>PI-L1-024</t>
  </si>
  <si>
    <t>ATT-001</t>
  </si>
  <si>
    <t>SMS attachment rate</t>
  </si>
  <si>
    <t>PI-L1-025</t>
  </si>
  <si>
    <t>VAS-001</t>
  </si>
  <si>
    <t>Customer-facing SMS price</t>
  </si>
  <si>
    <t>PI-L1-026</t>
  </si>
  <si>
    <t>CST-001</t>
  </si>
  <si>
    <t>SMS wholesale provider price</t>
  </si>
  <si>
    <t>PI-L1-027</t>
  </si>
  <si>
    <t>SMS-001</t>
  </si>
  <si>
    <t>SMS delivery success rate</t>
  </si>
  <si>
    <t>PI-L1-028</t>
  </si>
  <si>
    <t>SMS-003</t>
  </si>
  <si>
    <t>Failed-message treatment</t>
  </si>
  <si>
    <t>text</t>
  </si>
  <si>
    <t>Delivered-only billing; failed attempts excluded</t>
  </si>
  <si>
    <t>Governed policy input</t>
  </si>
  <si>
    <t>PI-L1-029</t>
  </si>
  <si>
    <t>SMS-004</t>
  </si>
  <si>
    <t>Privacy and consent readiness</t>
  </si>
  <si>
    <t>Internal modeling only; no external SMS use until privacy review</t>
  </si>
  <si>
    <t>PI-L1-030</t>
  </si>
  <si>
    <t>SMS margin split</t>
  </si>
  <si>
    <t>Rural Bank retains gross SMS margin; ODTI markup is 0</t>
  </si>
  <si>
    <t>TAX-001</t>
  </si>
  <si>
    <t>Blocked. No tax-adjusted results are produced.</t>
  </si>
  <si>
    <t>blocked</t>
  </si>
  <si>
    <t>Open</t>
  </si>
  <si>
    <t>Blocked or excluded</t>
  </si>
  <si>
    <t>ROY-001</t>
  </si>
  <si>
    <t>Blocked. No 3neti royalty revenue or ODTI post-royalty contribution is produced.</t>
  </si>
  <si>
    <t>NET-001</t>
  </si>
  <si>
    <t>Blocked. No NetBank fee-adjusted results are produced.</t>
  </si>
  <si>
    <t>NET-002</t>
  </si>
  <si>
    <t>Blocked. No NetBank cost or contribution view is produced.</t>
  </si>
  <si>
    <t>PAR-001</t>
  </si>
  <si>
    <t>Excluded. No business-development partner allocation is included.</t>
  </si>
  <si>
    <t>RB-002</t>
  </si>
  <si>
    <t>Blocked. Rural Bank true incremental contribution after internal bank payroll-support cost is not produced.</t>
  </si>
  <si>
    <t>SMS-002</t>
  </si>
  <si>
    <t>Excluded. SMS provider internal margin is not calculated.</t>
  </si>
  <si>
    <t>BAT-001</t>
  </si>
  <si>
    <t>Deferred. No payroll batch fee is included.</t>
  </si>
  <si>
    <t>ALLOC-001</t>
  </si>
  <si>
    <t>Deferred until shared platform allocation is mature enough to govern.</t>
  </si>
  <si>
    <t>ALLOC-002</t>
  </si>
  <si>
    <t>PLT-001</t>
  </si>
  <si>
    <t>Assumption ID</t>
  </si>
  <si>
    <t>Used By</t>
  </si>
  <si>
    <t>Formula / Role</t>
  </si>
  <si>
    <t>Output Tabs</t>
  </si>
  <si>
    <t>Status</t>
  </si>
  <si>
    <t>VOL-001; Active employers</t>
  </si>
  <si>
    <t>Component input</t>
  </si>
  <si>
    <t>04_Adoption; 05_Payroll_Activity</t>
  </si>
  <si>
    <t>Annual successful payroll transactions</t>
  </si>
  <si>
    <t>Derived input only</t>
  </si>
  <si>
    <t>Cumulative banks; newly onboarded employer relationships</t>
  </si>
  <si>
    <t>Primitive input</t>
  </si>
  <si>
    <t>Annual successful payroll transactions; active employers</t>
  </si>
  <si>
    <t>SMS-attached delivered transactions</t>
  </si>
  <si>
    <t>Optional SMS input</t>
  </si>
  <si>
    <t>05_Payroll_Activity; 13_SMS_Variant</t>
  </si>
  <si>
    <t>Rural Bank true contribution</t>
  </si>
  <si>
    <t>Blocked input</t>
  </si>
  <si>
    <t>10_Rural_Bank_View; 21_Checks</t>
  </si>
  <si>
    <t>Tax-adjusted results</t>
  </si>
  <si>
    <t>15_Profit_and_Loss; 21_Checks</t>
  </si>
  <si>
    <t>3neti royalty</t>
  </si>
  <si>
    <t>11_ODTI_View; 21_Checks</t>
  </si>
  <si>
    <t>NetBank fee-adjusted result</t>
  </si>
  <si>
    <t>14_Consolidated_View; 21_Checks</t>
  </si>
  <si>
    <t>Scenario</t>
  </si>
  <si>
    <t>Metric</t>
  </si>
  <si>
    <t>Newly onboarded banks</t>
  </si>
  <si>
    <t>Cumulative onboarded banks</t>
  </si>
  <si>
    <t>Active banks</t>
  </si>
  <si>
    <t>Weighted average active months</t>
  </si>
  <si>
    <t>Active employers</t>
  </si>
  <si>
    <t>Newly onboarded employer relationships</t>
  </si>
  <si>
    <t>Derived VOL-001</t>
  </si>
  <si>
    <t>Check</t>
  </si>
  <si>
    <t>Actual</t>
  </si>
  <si>
    <t>Expected</t>
  </si>
  <si>
    <t>Difference</t>
  </si>
  <si>
    <t>Active banks &lt;= cumulative onboarded banks</t>
  </si>
  <si>
    <t>All scenarios</t>
  </si>
  <si>
    <t>True</t>
  </si>
  <si>
    <t>OK</t>
  </si>
  <si>
    <t>Validated by scaffold and formulas.</t>
  </si>
  <si>
    <t>Weighted active months between 0 and 12</t>
  </si>
  <si>
    <t>0 to 12</t>
  </si>
  <si>
    <t>Active employers reconcile</t>
  </si>
  <si>
    <t>ADP-002 x CUS-001</t>
  </si>
  <si>
    <t>Formula-backed on 04_Adoption.</t>
  </si>
  <si>
    <t>Newly onboarded employer relationships reconcile</t>
  </si>
  <si>
    <t>ADP-001 x CUS-001</t>
  </si>
  <si>
    <t>VOL-001 equals component-derived formula</t>
  </si>
  <si>
    <t>Formula-backed on 05_Payroll_Activity.</t>
  </si>
  <si>
    <t>No independent VOL-001 input in component-derived mode</t>
  </si>
  <si>
    <t>VOL-001 is displayed as derived only.</t>
  </si>
  <si>
    <t>Annual successful transactions match canonical model</t>
  </si>
  <si>
    <t>Canonical Level 1 values</t>
  </si>
  <si>
    <t>Formula results match canonical activity table.</t>
  </si>
  <si>
    <t>RB-001 &lt;= PRC-001</t>
  </si>
  <si>
    <t>Rural Bank retention cannot exceed recipient fee.</t>
  </si>
  <si>
    <t>Blocked assumptions visibly blocked</t>
  </si>
  <si>
    <t>11 rows</t>
  </si>
  <si>
    <t>Visible</t>
  </si>
  <si>
    <t>Blocked rows appear on 02_Assumptions.</t>
  </si>
  <si>
    <t>NPV cash-flow linkage</t>
  </si>
  <si>
    <t>Unavailable</t>
  </si>
  <si>
    <t>Capital-budgeting prerequisites not yet implemented.</t>
  </si>
  <si>
    <t>IRR sign pattern</t>
  </si>
  <si>
    <t>Pricing split remains valid.</t>
  </si>
  <si>
    <t>EMP-001 split sums to 100%</t>
  </si>
  <si>
    <t>100%</t>
  </si>
  <si>
    <t>Decision 0003 split rows.</t>
  </si>
  <si>
    <t>EMP-002 split sums to 100%</t>
  </si>
  <si>
    <t>External revenue counts employer fees once</t>
  </si>
  <si>
    <t>Core external revenue is separated from entity revenue.</t>
  </si>
  <si>
    <t>Stakeholder revenue is non-additive</t>
  </si>
  <si>
    <t>Warning visible</t>
  </si>
  <si>
    <t>Entity revenue rows remain non-additive.</t>
  </si>
  <si>
    <t>Core Payroll excludes SMS</t>
  </si>
  <si>
    <t>SMS appears only in 13_SMS_Variant and optional consolidated rows.</t>
  </si>
  <si>
    <t>SMS margin formula</t>
  </si>
  <si>
    <t>Collected revenue less wholesale cost</t>
  </si>
  <si>
    <t>Wholesale provider cost is not reduced by non-collection.</t>
  </si>
  <si>
    <t>ODTI qualifiers</t>
  </si>
  <si>
    <t>Pre-tax/pre-royalty/NetBank-fee-blocked</t>
  </si>
  <si>
    <t>Blocked qualifiers preserved.</t>
  </si>
  <si>
    <t>Blocked exclusions</t>
  </si>
  <si>
    <t>TAX-001; ROY-001; NET-001</t>
  </si>
  <si>
    <t>Final net results remain unavailable.</t>
  </si>
  <si>
    <t>Payroll funding excluded from cost of sales</t>
  </si>
  <si>
    <t>Pass-through only</t>
  </si>
  <si>
    <t>Excluded</t>
  </si>
  <si>
    <t>No payroll funding appears as revenue or cost of sales.</t>
  </si>
  <si>
    <t>SMS wholesale cost remains unreduced</t>
  </si>
  <si>
    <t>13_SMS_Variant wholesale row</t>
  </si>
  <si>
    <t>Wholesale provider cost is separate from non-collection.</t>
  </si>
  <si>
    <t>Incremental and modernization costs separate</t>
  </si>
  <si>
    <t>09_Operating_Expenses</t>
  </si>
  <si>
    <t>Separate rows</t>
  </si>
  <si>
    <t>Shared modernization cost is not merged into incremental Payroll contribution.</t>
  </si>
  <si>
    <t>CLD-001 remains outside DevOps</t>
  </si>
  <si>
    <t>Public-cloud modernization cost</t>
  </si>
  <si>
    <t>Rural Bank external outflow</t>
  </si>
  <si>
    <t>Cloud remains outside DevOps contribution.</t>
  </si>
  <si>
    <t>RB-002 remains blocked</t>
  </si>
  <si>
    <t>Rural Bank true net contribution</t>
  </si>
  <si>
    <t>Internal bank support cost has no authorized value.</t>
  </si>
  <si>
    <t>TAX-001 remains blocked</t>
  </si>
  <si>
    <t>Tax-adjusted net income</t>
  </si>
  <si>
    <t>No tax-adjusted result is produced.</t>
  </si>
  <si>
    <t>ROY-001 remains blocked</t>
  </si>
  <si>
    <t>Post-royalty ODTI contribution</t>
  </si>
  <si>
    <t>No 3neti royalty adjustment is included.</t>
  </si>
  <si>
    <t>NET-001 remains blocked</t>
  </si>
  <si>
    <t>NetBank fee-adjusted results</t>
  </si>
  <si>
    <t>No NetBank fee basis is approved.</t>
  </si>
  <si>
    <t>Management P&amp;L is not GAAP/PFRS</t>
  </si>
  <si>
    <t>15_Profit_and_Loss</t>
  </si>
  <si>
    <t>Qualified</t>
  </si>
  <si>
    <t>Formal accounting presentation remains blocked.</t>
  </si>
  <si>
    <t>Revenue is not assumed to equal cash receipt</t>
  </si>
  <si>
    <t>16_Cash_Flow</t>
  </si>
  <si>
    <t>COL-001 blocked</t>
  </si>
  <si>
    <t>Cash timing remains unresolved.</t>
  </si>
  <si>
    <t>Ending cash remains blocked</t>
  </si>
  <si>
    <t>Beginning cash and financing assumptions are unavailable.</t>
  </si>
  <si>
    <t>NPV and IRR remain outside Slice 4</t>
  </si>
  <si>
    <t>17_Capital_Budgeting</t>
  </si>
  <si>
    <t>Future slice</t>
  </si>
  <si>
    <t>Capital budgeting remains Slice 5.</t>
  </si>
  <si>
    <t>NPV uses cash flows only</t>
  </si>
  <si>
    <t>No NPV calculated</t>
  </si>
  <si>
    <t>FIN-001 and cash-flow prerequisites are unavailable.</t>
  </si>
  <si>
    <t>IRR sign pattern valid</t>
  </si>
  <si>
    <t>No IRR calculated</t>
  </si>
  <si>
    <t>No governed investment cash-flow series exists.</t>
  </si>
  <si>
    <t>Discount rate assumption exists</t>
  </si>
  <si>
    <t>FIN-001 missing</t>
  </si>
  <si>
    <t>Future assumptions-register update required.</t>
  </si>
  <si>
    <t>Sensitivity targets link to model outputs</t>
  </si>
  <si>
    <t>18_Sensitivity</t>
  </si>
  <si>
    <t>Linked</t>
  </si>
  <si>
    <t>Formula targets reference workbook outputs.</t>
  </si>
  <si>
    <t>No pasted valuation outputs</t>
  </si>
  <si>
    <t>Blocked rows</t>
  </si>
  <si>
    <t>NPV and IRR are not hardcoded or forced.</t>
  </si>
  <si>
    <t>Rural Bank NPV blocked</t>
  </si>
  <si>
    <t>RB-002; cash timing; FIN-001</t>
  </si>
  <si>
    <t>True Rural Bank cash flow remains unavailable.</t>
  </si>
  <si>
    <t>ODTI NPV blocked</t>
  </si>
  <si>
    <t>Tax; royalty; NetBank; cash timing</t>
  </si>
  <si>
    <t>Final ODTI cash flow remains unavailable.</t>
  </si>
  <si>
    <t>Discount-rate sensitivity blocked</t>
  </si>
  <si>
    <t>No discount-rate matrix is produced.</t>
  </si>
  <si>
    <t>Scenario comparison consumes model outputs</t>
  </si>
  <si>
    <t>19_Scenarios</t>
  </si>
  <si>
    <t>Scenario table references existing workbook sheets.</t>
  </si>
  <si>
    <t>Dashboard uses linked outputs</t>
  </si>
  <si>
    <t>20_Dashboard</t>
  </si>
  <si>
    <t>Dashboard rows reference model outputs and controls.</t>
  </si>
  <si>
    <t>Dashboard ERROR count surfaced</t>
  </si>
  <si>
    <t>ERROR count links to 21_Checks.</t>
  </si>
  <si>
    <t>Warnings remain visible</t>
  </si>
  <si>
    <t>00_Read_Me; 20_Dashboard</t>
  </si>
  <si>
    <t>Workbook warning remains on Read Me; dashboard preserves blocked metrics.</t>
  </si>
  <si>
    <t>Source lineage covers required categories</t>
  </si>
  <si>
    <t>22_Source_Lineage maps the primary model areas.</t>
  </si>
  <si>
    <t>No workbook-as-source-of-truth lineage</t>
  </si>
  <si>
    <t>22_Source_Lineage</t>
  </si>
  <si>
    <t>Repository documents</t>
  </si>
  <si>
    <t>Lineage points to canonical documents and assumptions.</t>
  </si>
  <si>
    <t>NPV and IRR remain blocked</t>
  </si>
  <si>
    <t>No discount-rate or cash-flow authorization exists.</t>
  </si>
  <si>
    <t>Stakeholder revenue remains non-additive</t>
  </si>
  <si>
    <t>07_Revenue warning</t>
  </si>
  <si>
    <t>Non-additive</t>
  </si>
  <si>
    <t>Consolidated external revenue remains separate.</t>
  </si>
  <si>
    <t>Core Payroll and SMS remain separated</t>
  </si>
  <si>
    <t>13_SMS_Variant optional</t>
  </si>
  <si>
    <t>Separated</t>
  </si>
  <si>
    <t>Dashboard and scenarios keep SMS optional.</t>
  </si>
  <si>
    <t>Model status</t>
  </si>
  <si>
    <t>No ERROR rows</t>
  </si>
  <si>
    <t>Blocked rows are known limitations, not validation errors.</t>
  </si>
  <si>
    <t>Pricing item</t>
  </si>
  <si>
    <t>Value</t>
  </si>
  <si>
    <t>EMP-001 Employer onboarding fee</t>
  </si>
  <si>
    <t>EMP-001 / provisional input</t>
  </si>
  <si>
    <t>Customer-facing employer onboarding price.</t>
  </si>
  <si>
    <t>EMP-001 Rural Bank share</t>
  </si>
  <si>
    <t>Decision 0003 / PI-L1-015</t>
  </si>
  <si>
    <t>Decision-backed provisional split.</t>
  </si>
  <si>
    <t>EMP-001 ODTI share</t>
  </si>
  <si>
    <t>EMP-002 Employer monthly payroll-service fee</t>
  </si>
  <si>
    <t>EMP-002 / provisional input</t>
  </si>
  <si>
    <t>Customer-facing recurring employer fee.</t>
  </si>
  <si>
    <t>EMP-002 Rural Bank share</t>
  </si>
  <si>
    <t>Decision 0003 / PI-L1-016</t>
  </si>
  <si>
    <t>EMP-002 ODTI share</t>
  </si>
  <si>
    <t>PRC-001 Recipient disbursement fee</t>
  </si>
  <si>
    <t>PRC-001 / provisional input</t>
  </si>
  <si>
    <t>Customer-facing recipient disbursement fee.</t>
  </si>
  <si>
    <t>RB-001 Rural Bank retained transaction amount</t>
  </si>
  <si>
    <t>RB-001 / provisional input</t>
  </si>
  <si>
    <t>Must not exceed PRC-001.</t>
  </si>
  <si>
    <t>ODTI recipient transaction amount</t>
  </si>
  <si>
    <t>PRC-001 less RB-001</t>
  </si>
  <si>
    <t>Derived transaction-platform amount.</t>
  </si>
  <si>
    <t>LIC-004 Activation fee</t>
  </si>
  <si>
    <t>LIC-004 / provisional input</t>
  </si>
  <si>
    <t>Rural-bank platform access activation.</t>
  </si>
  <si>
    <t>LIC-005 Annual platform subscription</t>
  </si>
  <si>
    <t>LIC-005 / provisional input</t>
  </si>
  <si>
    <t>Annual subscription; monthly recognition uses active bank-months divided by 12.</t>
  </si>
  <si>
    <t>RISK-002 Collection loss rate</t>
  </si>
  <si>
    <t>RISK-002 / provisional input</t>
  </si>
  <si>
    <t>Applies to eligible employer commercial fees.</t>
  </si>
  <si>
    <t>VAS-001 SMS customer-facing price</t>
  </si>
  <si>
    <t>VAS-001 / provisional input</t>
  </si>
  <si>
    <t>Optional SMS price.</t>
  </si>
  <si>
    <t>CST-001 SMS wholesale provider price</t>
  </si>
  <si>
    <t>CST-001 / provisional input</t>
  </si>
  <si>
    <t>Wholesale provider cost remains payable under baseline.</t>
  </si>
  <si>
    <t>Employer onboarding revenue</t>
  </si>
  <si>
    <t>Employer monthly service revenue</t>
  </si>
  <si>
    <t>Recipient disbursement fee revenue</t>
  </si>
  <si>
    <t>Core external revenue</t>
  </si>
  <si>
    <t>Rural Bank entity revenue - non-additive</t>
  </si>
  <si>
    <t>ODTI entity revenue - non-additive</t>
  </si>
  <si>
    <t>DevOps entity revenue - non-additive</t>
  </si>
  <si>
    <t>Rural Bank core revenue</t>
  </si>
  <si>
    <t>Rural Bank SMS margin</t>
  </si>
  <si>
    <t>Rural Bank contribution before RB-002</t>
  </si>
  <si>
    <t>ODTI core revenue</t>
  </si>
  <si>
    <t>ODTI contribution - pre-tax/pre-royalty/NetBank-fee-blocked</t>
  </si>
  <si>
    <t>TAX-001; ROY-001; NET-001 blocked</t>
  </si>
  <si>
    <t>DevOps revenue</t>
  </si>
  <si>
    <t>DevOps contribution</t>
  </si>
  <si>
    <t>SMS delivered transactions</t>
  </si>
  <si>
    <t>SMS customer-facing revenue</t>
  </si>
  <si>
    <t>Collected SMS revenue after non-collection</t>
  </si>
  <si>
    <t>SMS wholesale provider cost</t>
  </si>
  <si>
    <t>Core consolidated contribution before blocked items</t>
  </si>
  <si>
    <t>Optional SMS contribution</t>
  </si>
  <si>
    <t>Combined contribution before blocked items</t>
  </si>
  <si>
    <t>Core non-collection effect on employer commercial fees</t>
  </si>
  <si>
    <t>Payroll funding pass-through</t>
  </si>
  <si>
    <t>Excluded from cost of sales</t>
  </si>
  <si>
    <t>Other direct provider costs</t>
  </si>
  <si>
    <t>Blocked - NET-001</t>
  </si>
  <si>
    <t>Tax or government amounts</t>
  </si>
  <si>
    <t>Blocked - TAX-001</t>
  </si>
  <si>
    <t>ODTI implementation cost</t>
  </si>
  <si>
    <t>ODTI recurring support cost</t>
  </si>
  <si>
    <t>ODTI payroll-specific operating cost</t>
  </si>
  <si>
    <t>DevOps direct recurring cost</t>
  </si>
  <si>
    <t>Platform subscription modernization cost</t>
  </si>
  <si>
    <t>DevOps setup modernization cost</t>
  </si>
  <si>
    <t>DevOps recurring modernization cost</t>
  </si>
  <si>
    <t>Shared modernization cost</t>
  </si>
  <si>
    <t>Rural Bank payroll-specific internal support cost</t>
  </si>
  <si>
    <t>Blocked - RB-002</t>
  </si>
  <si>
    <t>Rural Bank revenue</t>
  </si>
  <si>
    <t>Rural Bank Contribution Before Internal Bank Payroll-Support Cost</t>
  </si>
  <si>
    <t>ODTI revenue</t>
  </si>
  <si>
    <t>ODTI operating expenses</t>
  </si>
  <si>
    <t>ODTI contribution - Pre-Tax, Pre-Royalty, NetBank-Fee-Blocked</t>
  </si>
  <si>
    <t>DevOps direct cost</t>
  </si>
  <si>
    <t>Consolidated external revenue</t>
  </si>
  <si>
    <t>Consolidated contribution before blocked items</t>
  </si>
  <si>
    <t>Formal GAAP/PFRS net income</t>
  </si>
  <si>
    <t>Blocked - accounting treatment unresolved</t>
  </si>
  <si>
    <t>Recognized core external revenue</t>
  </si>
  <si>
    <t>Collected core commercial fees after non-collection</t>
  </si>
  <si>
    <t>ODTI payroll-specific cash cost before timing</t>
  </si>
  <si>
    <t>External cloud cash payment before timing</t>
  </si>
  <si>
    <t>Employer collection timing</t>
  </si>
  <si>
    <t>Blocked - COL-001</t>
  </si>
  <si>
    <t>Working-capital roll-forward</t>
  </si>
  <si>
    <t>Blocked - COL-001 and balance-sheet prerequisites</t>
  </si>
  <si>
    <t>Ending cash</t>
  </si>
  <si>
    <t>Blocked - beginning cash and financing assumptions unavailable</t>
  </si>
  <si>
    <t>Rural Bank modernization investment cash outflow before timing</t>
  </si>
  <si>
    <t>Rural Bank incremental cash contribution before RB-002</t>
  </si>
  <si>
    <t>ODTI program contribution before blocked items</t>
  </si>
  <si>
    <t>DevOps contribution before blocked items</t>
  </si>
  <si>
    <t>Blocked - FIN-001 not canonicalized</t>
  </si>
  <si>
    <t>NPV</t>
  </si>
  <si>
    <t>Blocked - cash-flow timing, discount rate, tax, RB-002, royalty, and NetBank prerequisites unresolved</t>
  </si>
  <si>
    <t>IRR</t>
  </si>
  <si>
    <t>Blocked - valid investment cash-flow sign pattern is not governed</t>
  </si>
  <si>
    <t>Simple payback</t>
  </si>
  <si>
    <t>Blocked - beginning investment and true cash-flow basis unavailable</t>
  </si>
  <si>
    <t>Sensitivity test</t>
  </si>
  <si>
    <t>Row driver</t>
  </si>
  <si>
    <t>Column driver</t>
  </si>
  <si>
    <t>Target output</t>
  </si>
  <si>
    <t>Current selected-scenario reference</t>
  </si>
  <si>
    <t>Active banks versus employers per bank</t>
  </si>
  <si>
    <t>ADP-002 active banks</t>
  </si>
  <si>
    <t>CUS-001 payroll customers per active bank</t>
  </si>
  <si>
    <t>Year 5 consolidated contribution before blocked items</t>
  </si>
  <si>
    <t>Ready as formula target</t>
  </si>
  <si>
    <t>Two-way grid remains a later implementation; this row locks the target output.</t>
  </si>
  <si>
    <t>Employer monthly fee versus employer count</t>
  </si>
  <si>
    <t>EMP-002 employer monthly payroll-service fee</t>
  </si>
  <si>
    <t>Year 5 consolidated core external revenue</t>
  </si>
  <si>
    <t>Sensitivity must recalculate from assumptions, not paste static outputs.</t>
  </si>
  <si>
    <t>Recipient fee versus transaction volume</t>
  </si>
  <si>
    <t>PRC-001 recipient disbursement fee</t>
  </si>
  <si>
    <t>Year 5 ODTI contribution before blocked items</t>
  </si>
  <si>
    <t>Transaction-fee sensitivity remains secondary to employer recurring fee sensitivity.</t>
  </si>
  <si>
    <t>Rural Bank retained amount versus volume</t>
  </si>
  <si>
    <t>RB-001 retained transaction amount</t>
  </si>
  <si>
    <t>Year 5 Rural Bank Contribution Before Internal Bank Payroll-Support Cost</t>
  </si>
  <si>
    <t>True bank contribution remains blocked by RB-002.</t>
  </si>
  <si>
    <t>ODTI support cost versus active banks</t>
  </si>
  <si>
    <t>ODTI-001 support cost</t>
  </si>
  <si>
    <t>Pre-tax, pre-royalty, NetBank-fee-blocked.</t>
  </si>
  <si>
    <t>DevOps cost versus bank count</t>
  </si>
  <si>
    <t>OPS-003 direct DevOps cost</t>
  </si>
  <si>
    <t>Year 5 DevOps contribution</t>
  </si>
  <si>
    <t>Cloud remains outside DevOps under the Level 1 boundary.</t>
  </si>
  <si>
    <t>Discount rate versus NPV</t>
  </si>
  <si>
    <t>FIN-001 discount rate</t>
  </si>
  <si>
    <t>Investment cash flow</t>
  </si>
  <si>
    <t>FIN-001 and valid cash-flow basis are missing.</t>
  </si>
  <si>
    <t>Shared modernization allocation versus Rural Bank contribution</t>
  </si>
  <si>
    <t>ALLOC-001 payroll share</t>
  </si>
  <si>
    <t>Full-cost stress-test result</t>
  </si>
  <si>
    <t>Shared allocation remains deferred until additional offerings are modeled.</t>
  </si>
  <si>
    <t>Conservative Year 1</t>
  </si>
  <si>
    <t>Conservative Year 5</t>
  </si>
  <si>
    <t>Base Year 1</t>
  </si>
  <si>
    <t>Base Year 5</t>
  </si>
  <si>
    <t>Accelerated Year 1</t>
  </si>
  <si>
    <t>Accelerated Year 5</t>
  </si>
  <si>
    <t>Source / notes</t>
  </si>
  <si>
    <t>ADP-002.</t>
  </si>
  <si>
    <t>ADP-002 x CUS-001.</t>
  </si>
  <si>
    <t>ADP-002 x ADP-003 x derived VOL-001.</t>
  </si>
  <si>
    <t>Consolidated Core External Revenue</t>
  </si>
  <si>
    <t>External employer commercial fees counted once.</t>
  </si>
  <si>
    <t>Consolidated Core Contribution Before Blocked Items</t>
  </si>
  <si>
    <t>Qualified by blocked RB-002.</t>
  </si>
  <si>
    <t>ODTI Pre-Tax/Pre-Royalty/NetBank-Fee-Blocked Contribution</t>
  </si>
  <si>
    <t>Final ODTI net result blocked.</t>
  </si>
  <si>
    <t>DevOps Contribution</t>
  </si>
  <si>
    <t>Cloud remains outside DevOps.</t>
  </si>
  <si>
    <t>Optional SMS Increment</t>
  </si>
  <si>
    <t>Optional enhancement, excluded from Core Payroll headline.</t>
  </si>
  <si>
    <t>NPV / IRR</t>
  </si>
  <si>
    <t>FIN-001, cash-flow timing, tax, RB-002, royalty, and NetBank prerequisites unresolved.</t>
  </si>
  <si>
    <t>Dashboard item</t>
  </si>
  <si>
    <t>Selected scenario value</t>
  </si>
  <si>
    <t>Controlled scenario selector.</t>
  </si>
  <si>
    <t>Active banks - Year 5</t>
  </si>
  <si>
    <t>04_Adoption / ADP-002</t>
  </si>
  <si>
    <t>Scenario-selected active banks.</t>
  </si>
  <si>
    <t>Active employers - Year 5</t>
  </si>
  <si>
    <t>04_Adoption / CUS-001</t>
  </si>
  <si>
    <t>Active employers drive recurring service fees.</t>
  </si>
  <si>
    <t>Annual successful payroll transactions - Year 5</t>
  </si>
  <si>
    <t>05_Payroll_Activity / VOL-001</t>
  </si>
  <si>
    <t>Component-derived volume.</t>
  </si>
  <si>
    <t>Consolidated Core External Revenue - Year 5</t>
  </si>
  <si>
    <t>14_Consolidated_View</t>
  </si>
  <si>
    <t>External customer inflows counted once.</t>
  </si>
  <si>
    <t>Consolidated Core Contribution Before Blocked Items - Year 5</t>
  </si>
  <si>
    <t>Rural Bank Contribution Before Internal Bank Payroll-Support Cost - Year 5</t>
  </si>
  <si>
    <t>10_Rural_Bank_View / RB-002</t>
  </si>
  <si>
    <t>ODTI Contribution - Year 5</t>
  </si>
  <si>
    <t>11_ODTI_View</t>
  </si>
  <si>
    <t>DevOps Contribution - Year 5</t>
  </si>
  <si>
    <t>12_DevOps_View</t>
  </si>
  <si>
    <t>Direct recurring cost only; cloud remains outside DevOps.</t>
  </si>
  <si>
    <t>Optional SMS Increment - Year 5</t>
  </si>
  <si>
    <t>13_SMS_Variant</t>
  </si>
  <si>
    <t>Optional</t>
  </si>
  <si>
    <t>SMS is not part of Core Payroll headline.</t>
  </si>
  <si>
    <t>Full-Cost Stand-Alone Stress Result - Year 5</t>
  </si>
  <si>
    <t>14_Consolidated_View less 09_Operating_Expenses</t>
  </si>
  <si>
    <t>Stress test</t>
  </si>
  <si>
    <t>Payroll alone remains a stress-test view, not the primary operating view.</t>
  </si>
  <si>
    <t>Blocked-input count</t>
  </si>
  <si>
    <t>02_Assumptions / blocked input register</t>
  </si>
  <si>
    <t>Blocked visible</t>
  </si>
  <si>
    <t>Blocked items are visible rather than treated as zero.</t>
  </si>
  <si>
    <t>ERROR count</t>
  </si>
  <si>
    <t>Dashboard surfaces model check failures.</t>
  </si>
  <si>
    <t>FIN-001 and valid cash-flow series are unavailable.</t>
  </si>
  <si>
    <t>Workbook item</t>
  </si>
  <si>
    <t>Assumption IDs</t>
  </si>
  <si>
    <t>Source document</t>
  </si>
  <si>
    <t>Workbook sheets</t>
  </si>
  <si>
    <t>Provisional input IDs / decisions</t>
  </si>
  <si>
    <t>Adoption and activation</t>
  </si>
  <si>
    <t>ADP-001; ADP-002; ADP-003</t>
  </si>
  <si>
    <t>02_Assumptions; 04_Adoption; 19_Scenarios; 20_Dashboard</t>
  </si>
  <si>
    <t>PI-L1-001; PI-L1-002; PI-L1-003</t>
  </si>
  <si>
    <t>Payroll activity</t>
  </si>
  <si>
    <t>CUS-001; CUS-002; CUS-003; VOL-002; VOL-001</t>
  </si>
  <si>
    <t>05_Payroll_Activity; 19_Scenarios</t>
  </si>
  <si>
    <t>PI-L1-004 through PI-L1-008</t>
  </si>
  <si>
    <t>Derived and provisional</t>
  </si>
  <si>
    <t>Pricing and employer fees</t>
  </si>
  <si>
    <t>EMP-001; EMP-002; PRC-001; RB-001</t>
  </si>
  <si>
    <t>06_Pricing; 07_Revenue</t>
  </si>
  <si>
    <t>PI-L1-009; PI-L1-010; PI-L1-013; PI-L1-014</t>
  </si>
  <si>
    <t>Stakeholder revenue splits</t>
  </si>
  <si>
    <t>06_Pricing; 10_Rural_Bank_View; 11_ODTI_View</t>
  </si>
  <si>
    <t>PI-L1-015; PI-L1-016</t>
  </si>
  <si>
    <t>Decision-backed provisional</t>
  </si>
  <si>
    <t>Rural Bank contribution</t>
  </si>
  <si>
    <t>RB-001; RB-002; RISK-002</t>
  </si>
  <si>
    <t>10_Rural_Bank_View; 15_Profit_and_Loss; 20_Dashboard</t>
  </si>
  <si>
    <t>PI-L1-014; RB-002 blocked; PI-L1-023</t>
  </si>
  <si>
    <t>Qualified / blocked</t>
  </si>
  <si>
    <t>ODTI contribution</t>
  </si>
  <si>
    <t>LIC-004; LIC-005; ODTI-001; ODTI-002; TAX-001; ROY-001; NET-001</t>
  </si>
  <si>
    <t>11_ODTI_View; 15_Profit_and_Loss</t>
  </si>
  <si>
    <t>PI-L1-011; PI-L1-012; PI-L1-017; PI-L1-018</t>
  </si>
  <si>
    <t>DevOps economics</t>
  </si>
  <si>
    <t>OPS-001; OPS-002; OPS-003; CLD-001</t>
  </si>
  <si>
    <t>12_DevOps_View; 09_Operating_Expenses</t>
  </si>
  <si>
    <t>PI-L1-019; PI-L1-020; PI-L1-021; PI-L1-022</t>
  </si>
  <si>
    <t>Optional SMS economics</t>
  </si>
  <si>
    <t>ATT-001; VAS-001; CST-001; SMS-001; SMS-002; SMS-003; SMS-004</t>
  </si>
  <si>
    <t>PI-L1-024 through PI-L1-030</t>
  </si>
  <si>
    <t>Optional / partially blocked</t>
  </si>
  <si>
    <t>EMP-001; EMP-002; PRC-001; RISK-002</t>
  </si>
  <si>
    <t>14_Consolidated_View; 19_Scenarios; 20_Dashboard</t>
  </si>
  <si>
    <t>PI-L1-009; PI-L1-010; PI-L1-013; PI-L1-023</t>
  </si>
  <si>
    <t>Cost classification</t>
  </si>
  <si>
    <t>CST-001; CLD-001; NET-001; TAX-001</t>
  </si>
  <si>
    <t>08_Cost_of_Sales; 09_Operating_Expenses</t>
  </si>
  <si>
    <t>PI-L1-026; PI-L1-022; NET-001 blocked; TAX-001 blocked</t>
  </si>
  <si>
    <t>Management P&amp;L</t>
  </si>
  <si>
    <t>RB-002; TAX-001; ROY-001; NET-001</t>
  </si>
  <si>
    <t>Management view only</t>
  </si>
  <si>
    <t>Cash-flow limitations</t>
  </si>
  <si>
    <t>COL-001; RISK-002</t>
  </si>
  <si>
    <t>COL-001 blocked; PI-L1-023</t>
  </si>
  <si>
    <t>Blocked where timing is required</t>
  </si>
  <si>
    <t>Capital-budgeting gates</t>
  </si>
  <si>
    <t>FIN-001; COL-001; TAX-001; RB-002</t>
  </si>
  <si>
    <t>Future FIN-001 required</t>
  </si>
  <si>
    <t>Sensitivity grids</t>
  </si>
  <si>
    <t>ADP-002; CUS-001; EMP-002; PRC-001; RB-001; ODTI-001; OPS-003</t>
  </si>
  <si>
    <t>Existing provisional inputs</t>
  </si>
  <si>
    <t>Formula target scaffold</t>
  </si>
  <si>
    <t>Blocked assumptions and exclusions</t>
  </si>
  <si>
    <t>TAX-001; ROY-001; NET-001; NET-002; PAR-001; RB-002; SMS-002; BAT-001; ALLOC-001; ALLOC-002; PLT-001</t>
  </si>
  <si>
    <t>02_Assumptions; 21_Checks; 22_Source_Lineage</t>
  </si>
  <si>
    <t>Blocked/excluded 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</si>
</sst>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D3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 wrapText="1"/>
    </xf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38" customWidth="1"/>
    <col min="2" max="2" width="42" customWidth="1"/>
  </cols>
  <sheetData>
    <row r="1" spans="1:2" s="1" customFormat="1" x14ac:dyDescent="0.25">
      <c r="A1" s="2" t="s">
        <v>0</v>
      </c>
      <c r="B1" s="2"/>
    </row>
    <row r="2" spans="1:2" x14ac:dyDescent="0.25">
      <c r="A2" s="3" t="s">
        <v>1</v>
      </c>
      <c r="B2" s="3"/>
    </row>
    <row r="3" spans="1:2" x14ac:dyDescent="0.25">
      <c r="A3" s="3" t="s">
        <v>2</v>
      </c>
      <c r="B3" s="3"/>
    </row>
    <row r="4" spans="1:2" x14ac:dyDescent="0.25">
      <c r="A4" s="3" t="s">
        <v>3</v>
      </c>
      <c r="B4" s="3" t="s">
        <v>4</v>
      </c>
    </row>
    <row r="5" spans="1:2" x14ac:dyDescent="0.25">
      <c r="A5" s="3" t="s">
        <v>5</v>
      </c>
      <c r="B5" s="3" t="s">
        <v>6</v>
      </c>
    </row>
    <row r="6" spans="1:2" x14ac:dyDescent="0.25">
      <c r="A6" s="3" t="s">
        <v>2</v>
      </c>
      <c r="B6" s="3"/>
    </row>
    <row r="7" spans="1:2" x14ac:dyDescent="0.25">
      <c r="A7" s="3" t="s">
        <v>7</v>
      </c>
      <c r="B7" s="3"/>
    </row>
    <row r="8" spans="1:2" x14ac:dyDescent="0.25">
      <c r="A8" s="3" t="s">
        <v>8</v>
      </c>
      <c r="B8" s="3" t="s">
        <v>9</v>
      </c>
    </row>
    <row r="9" spans="1:2" x14ac:dyDescent="0.25">
      <c r="A9" s="3" t="s">
        <v>10</v>
      </c>
      <c r="B9" s="3" t="s">
        <v>11</v>
      </c>
    </row>
    <row r="10" spans="1:2" x14ac:dyDescent="0.25">
      <c r="A10" s="3" t="s">
        <v>12</v>
      </c>
      <c r="B10" s="3" t="s">
        <v>13</v>
      </c>
    </row>
    <row r="11" spans="1:2" x14ac:dyDescent="0.25">
      <c r="A11" s="3" t="s">
        <v>14</v>
      </c>
      <c r="B11" s="3" t="s">
        <v>15</v>
      </c>
    </row>
    <row r="12" spans="1:2" x14ac:dyDescent="0.25">
      <c r="A12" s="3" t="s">
        <v>2</v>
      </c>
      <c r="B12" s="3"/>
    </row>
    <row r="13" spans="1:2" x14ac:dyDescent="0.25">
      <c r="A13" s="3" t="s">
        <v>16</v>
      </c>
      <c r="B13" s="3"/>
    </row>
    <row r="14" spans="1:2" x14ac:dyDescent="0.25">
      <c r="A14" s="3" t="s">
        <v>17</v>
      </c>
      <c r="B14" s="3"/>
    </row>
    <row r="15" spans="1:2" x14ac:dyDescent="0.25">
      <c r="A15" s="3" t="s">
        <v>18</v>
      </c>
      <c r="B15" s="3"/>
    </row>
    <row r="16" spans="1:2" x14ac:dyDescent="0.25">
      <c r="A16" s="3" t="s">
        <v>19</v>
      </c>
      <c r="B16" s="3"/>
    </row>
    <row r="17" spans="1:2" x14ac:dyDescent="0.25">
      <c r="A17" s="3" t="s">
        <v>20</v>
      </c>
      <c r="B17" s="3"/>
    </row>
    <row r="18" spans="1:2" x14ac:dyDescent="0.25">
      <c r="A18" s="3" t="s">
        <v>21</v>
      </c>
      <c r="B18" s="3"/>
    </row>
    <row r="19" spans="1:2" x14ac:dyDescent="0.25">
      <c r="A19" s="3" t="s">
        <v>22</v>
      </c>
      <c r="B19" s="3"/>
    </row>
    <row r="20" spans="1:2" x14ac:dyDescent="0.25">
      <c r="A20" s="3" t="s">
        <v>23</v>
      </c>
      <c r="B20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22" customWidth="1"/>
    <col min="2" max="2" width="21" customWidth="1"/>
    <col min="3" max="4" width="42" customWidth="1"/>
  </cols>
  <sheetData>
    <row r="1" spans="1:4" s="1" customFormat="1" x14ac:dyDescent="0.25">
      <c r="A1" s="2" t="s">
        <v>24</v>
      </c>
      <c r="B1" s="2" t="s">
        <v>25</v>
      </c>
      <c r="C1" s="2" t="s">
        <v>26</v>
      </c>
      <c r="D1" s="2" t="s">
        <v>27</v>
      </c>
    </row>
    <row r="2" spans="1:4" x14ac:dyDescent="0.25">
      <c r="A2" s="3" t="s">
        <v>28</v>
      </c>
      <c r="B2" s="3" t="s">
        <v>29</v>
      </c>
      <c r="C2" s="3" t="s">
        <v>30</v>
      </c>
      <c r="D2" s="3" t="s">
        <v>31</v>
      </c>
    </row>
    <row r="3" spans="1:4" x14ac:dyDescent="0.25">
      <c r="A3" s="3" t="s">
        <v>32</v>
      </c>
      <c r="B3" s="3" t="s">
        <v>33</v>
      </c>
      <c r="C3" s="3" t="s">
        <v>33</v>
      </c>
      <c r="D3" s="3" t="s">
        <v>34</v>
      </c>
    </row>
    <row r="4" spans="1:4" x14ac:dyDescent="0.25">
      <c r="A4" s="3" t="s">
        <v>35</v>
      </c>
      <c r="B4" s="4">
        <v>5</v>
      </c>
      <c r="C4" s="3" t="s">
        <v>36</v>
      </c>
      <c r="D4" s="3" t="s">
        <v>34</v>
      </c>
    </row>
    <row r="5" spans="1:4" x14ac:dyDescent="0.25">
      <c r="A5" s="3" t="s">
        <v>37</v>
      </c>
      <c r="B5" s="3" t="s">
        <v>38</v>
      </c>
      <c r="C5" s="3" t="s">
        <v>39</v>
      </c>
      <c r="D5" s="3" t="s">
        <v>40</v>
      </c>
    </row>
    <row r="6" spans="1:4" x14ac:dyDescent="0.25">
      <c r="A6" s="3" t="s">
        <v>41</v>
      </c>
      <c r="B6" s="3" t="s">
        <v>42</v>
      </c>
      <c r="C6" s="3" t="s">
        <v>43</v>
      </c>
      <c r="D6" s="3" t="s">
        <v>44</v>
      </c>
    </row>
    <row r="7" spans="1:4" x14ac:dyDescent="0.25">
      <c r="A7" s="3" t="s">
        <v>45</v>
      </c>
      <c r="B7" s="3" t="s">
        <v>46</v>
      </c>
      <c r="C7" s="3" t="s">
        <v>46</v>
      </c>
      <c r="D7" s="3" t="s">
        <v>47</v>
      </c>
    </row>
    <row r="8" spans="1:4" x14ac:dyDescent="0.25">
      <c r="A8" s="3" t="s">
        <v>48</v>
      </c>
      <c r="B8" s="3" t="s">
        <v>49</v>
      </c>
      <c r="C8" s="3" t="s">
        <v>49</v>
      </c>
      <c r="D8" s="3" t="s">
        <v>50</v>
      </c>
    </row>
    <row r="9" spans="1:4" x14ac:dyDescent="0.25">
      <c r="A9" s="3" t="s">
        <v>51</v>
      </c>
      <c r="B9" s="3" t="s">
        <v>52</v>
      </c>
      <c r="C9" s="3" t="s">
        <v>52</v>
      </c>
      <c r="D9" s="3" t="s">
        <v>53</v>
      </c>
    </row>
  </sheetData>
  <dataValidations count="2">
    <dataValidation type="list" sqref="B2">
      <formula1>"Conservative,Base,Accelerated"</formula1>
    </dataValidation>
    <dataValidation type="list" sqref="B5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4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22" customWidth="1"/>
    <col min="2" max="2" width="25" customWidth="1"/>
    <col min="3" max="3" width="42" customWidth="1"/>
    <col min="4" max="5" width="12" customWidth="1"/>
    <col min="6" max="9" width="42" customWidth="1"/>
    <col min="10" max="10" width="16" customWidth="1"/>
    <col min="11" max="11" width="42" customWidth="1"/>
    <col min="12" max="12" width="35" customWidth="1"/>
    <col min="13" max="13" width="42" customWidth="1"/>
  </cols>
  <sheetData>
    <row r="1" spans="1:13" s="1" customFormat="1" x14ac:dyDescent="0.25">
      <c r="A1" s="2" t="s">
        <v>54</v>
      </c>
      <c r="B1" s="2" t="s">
        <v>55</v>
      </c>
      <c r="C1" s="2" t="s">
        <v>56</v>
      </c>
      <c r="D1" s="2" t="s">
        <v>57</v>
      </c>
      <c r="E1" s="2" t="s">
        <v>58</v>
      </c>
      <c r="F1" s="2" t="s">
        <v>59</v>
      </c>
      <c r="G1" s="2" t="s">
        <v>29</v>
      </c>
      <c r="H1" s="2" t="s">
        <v>60</v>
      </c>
      <c r="I1" s="2" t="s">
        <v>61</v>
      </c>
      <c r="J1" s="2" t="s">
        <v>62</v>
      </c>
      <c r="K1" s="2" t="s">
        <v>63</v>
      </c>
      <c r="L1" s="2" t="s">
        <v>64</v>
      </c>
      <c r="M1" s="2" t="s">
        <v>65</v>
      </c>
    </row>
    <row r="2" spans="1:13" x14ac:dyDescent="0.25">
      <c r="A2" s="3" t="s">
        <v>66</v>
      </c>
      <c r="B2" s="3" t="s">
        <v>67</v>
      </c>
      <c r="C2" s="3" t="s">
        <v>68</v>
      </c>
      <c r="D2" s="3" t="s">
        <v>69</v>
      </c>
      <c r="E2" s="3" t="s">
        <v>33</v>
      </c>
      <c r="F2" s="4">
        <v>2</v>
      </c>
      <c r="G2" s="4">
        <v>5</v>
      </c>
      <c r="H2" s="4">
        <v>10</v>
      </c>
      <c r="I2" s="4">
        <f>CHOOSE(MATCH('01_Control'!$B$2,$F$1:$H$1,0),F2,G2,H2)</f>
        <v>5</v>
      </c>
      <c r="J2" s="3" t="s">
        <v>70</v>
      </c>
      <c r="K2" s="3" t="s">
        <v>71</v>
      </c>
      <c r="L2" s="3" t="s">
        <v>72</v>
      </c>
      <c r="M2" s="3" t="s">
        <v>9</v>
      </c>
    </row>
    <row r="3" spans="1:13" x14ac:dyDescent="0.25">
      <c r="A3" s="3" t="s">
        <v>66</v>
      </c>
      <c r="B3" s="3" t="s">
        <v>67</v>
      </c>
      <c r="C3" s="3" t="s">
        <v>68</v>
      </c>
      <c r="D3" s="3" t="s">
        <v>69</v>
      </c>
      <c r="E3" s="3" t="s">
        <v>73</v>
      </c>
      <c r="F3" s="4">
        <v>3</v>
      </c>
      <c r="G3" s="4">
        <v>7</v>
      </c>
      <c r="H3" s="4">
        <v>12</v>
      </c>
      <c r="I3" s="4">
        <f>CHOOSE(MATCH('01_Control'!$B$2,$F$1:$H$1,0),F3,G3,H3)</f>
        <v>7</v>
      </c>
      <c r="J3" s="3" t="s">
        <v>70</v>
      </c>
      <c r="K3" s="3" t="s">
        <v>71</v>
      </c>
      <c r="L3" s="3" t="s">
        <v>72</v>
      </c>
      <c r="M3" s="3" t="s">
        <v>9</v>
      </c>
    </row>
    <row r="4" spans="1:13" x14ac:dyDescent="0.25">
      <c r="A4" s="3" t="s">
        <v>66</v>
      </c>
      <c r="B4" s="3" t="s">
        <v>67</v>
      </c>
      <c r="C4" s="3" t="s">
        <v>68</v>
      </c>
      <c r="D4" s="3" t="s">
        <v>69</v>
      </c>
      <c r="E4" s="3" t="s">
        <v>74</v>
      </c>
      <c r="F4" s="4">
        <v>4</v>
      </c>
      <c r="G4" s="4">
        <v>8</v>
      </c>
      <c r="H4" s="4">
        <v>15</v>
      </c>
      <c r="I4" s="4">
        <f>CHOOSE(MATCH('01_Control'!$B$2,$F$1:$H$1,0),F4,G4,H4)</f>
        <v>8</v>
      </c>
      <c r="J4" s="3" t="s">
        <v>70</v>
      </c>
      <c r="K4" s="3" t="s">
        <v>71</v>
      </c>
      <c r="L4" s="3" t="s">
        <v>72</v>
      </c>
      <c r="M4" s="3" t="s">
        <v>9</v>
      </c>
    </row>
    <row r="5" spans="1:13" x14ac:dyDescent="0.25">
      <c r="A5" s="3" t="s">
        <v>66</v>
      </c>
      <c r="B5" s="3" t="s">
        <v>67</v>
      </c>
      <c r="C5" s="3" t="s">
        <v>68</v>
      </c>
      <c r="D5" s="3" t="s">
        <v>69</v>
      </c>
      <c r="E5" s="3" t="s">
        <v>75</v>
      </c>
      <c r="F5" s="4">
        <v>4</v>
      </c>
      <c r="G5" s="4">
        <v>10</v>
      </c>
      <c r="H5" s="4">
        <v>18</v>
      </c>
      <c r="I5" s="4">
        <f>CHOOSE(MATCH('01_Control'!$B$2,$F$1:$H$1,0),F5,G5,H5)</f>
        <v>10</v>
      </c>
      <c r="J5" s="3" t="s">
        <v>70</v>
      </c>
      <c r="K5" s="3" t="s">
        <v>71</v>
      </c>
      <c r="L5" s="3" t="s">
        <v>72</v>
      </c>
      <c r="M5" s="3" t="s">
        <v>9</v>
      </c>
    </row>
    <row r="6" spans="1:13" x14ac:dyDescent="0.25">
      <c r="A6" s="3" t="s">
        <v>66</v>
      </c>
      <c r="B6" s="3" t="s">
        <v>67</v>
      </c>
      <c r="C6" s="3" t="s">
        <v>68</v>
      </c>
      <c r="D6" s="3" t="s">
        <v>69</v>
      </c>
      <c r="E6" s="3" t="s">
        <v>76</v>
      </c>
      <c r="F6" s="4">
        <v>5</v>
      </c>
      <c r="G6" s="4">
        <v>10</v>
      </c>
      <c r="H6" s="4">
        <v>20</v>
      </c>
      <c r="I6" s="4">
        <f>CHOOSE(MATCH('01_Control'!$B$2,$F$1:$H$1,0),F6,G6,H6)</f>
        <v>10</v>
      </c>
      <c r="J6" s="3" t="s">
        <v>70</v>
      </c>
      <c r="K6" s="3" t="s">
        <v>71</v>
      </c>
      <c r="L6" s="3" t="s">
        <v>72</v>
      </c>
      <c r="M6" s="3" t="s">
        <v>9</v>
      </c>
    </row>
    <row r="7" spans="1:13" x14ac:dyDescent="0.25">
      <c r="A7" s="3" t="s">
        <v>77</v>
      </c>
      <c r="B7" s="3" t="s">
        <v>78</v>
      </c>
      <c r="C7" s="3" t="s">
        <v>79</v>
      </c>
      <c r="D7" s="3" t="s">
        <v>69</v>
      </c>
      <c r="E7" s="3" t="s">
        <v>33</v>
      </c>
      <c r="F7" s="4">
        <v>1</v>
      </c>
      <c r="G7" s="4">
        <v>3</v>
      </c>
      <c r="H7" s="4">
        <v>7</v>
      </c>
      <c r="I7" s="4">
        <f>CHOOSE(MATCH('01_Control'!$B$2,$F$1:$H$1,0),F7,G7,H7)</f>
        <v>3</v>
      </c>
      <c r="J7" s="3" t="s">
        <v>70</v>
      </c>
      <c r="K7" s="3" t="s">
        <v>71</v>
      </c>
      <c r="L7" s="3" t="s">
        <v>72</v>
      </c>
      <c r="M7" s="3" t="s">
        <v>9</v>
      </c>
    </row>
    <row r="8" spans="1:13" x14ac:dyDescent="0.25">
      <c r="A8" s="3" t="s">
        <v>77</v>
      </c>
      <c r="B8" s="3" t="s">
        <v>78</v>
      </c>
      <c r="C8" s="3" t="s">
        <v>79</v>
      </c>
      <c r="D8" s="3" t="s">
        <v>69</v>
      </c>
      <c r="E8" s="3" t="s">
        <v>73</v>
      </c>
      <c r="F8" s="4">
        <v>3</v>
      </c>
      <c r="G8" s="4">
        <v>8</v>
      </c>
      <c r="H8" s="4">
        <v>16</v>
      </c>
      <c r="I8" s="4">
        <f>CHOOSE(MATCH('01_Control'!$B$2,$F$1:$H$1,0),F8,G8,H8)</f>
        <v>8</v>
      </c>
      <c r="J8" s="3" t="s">
        <v>70</v>
      </c>
      <c r="K8" s="3" t="s">
        <v>71</v>
      </c>
      <c r="L8" s="3" t="s">
        <v>72</v>
      </c>
      <c r="M8" s="3" t="s">
        <v>9</v>
      </c>
    </row>
    <row r="9" spans="1:13" x14ac:dyDescent="0.25">
      <c r="A9" s="3" t="s">
        <v>77</v>
      </c>
      <c r="B9" s="3" t="s">
        <v>78</v>
      </c>
      <c r="C9" s="3" t="s">
        <v>79</v>
      </c>
      <c r="D9" s="3" t="s">
        <v>69</v>
      </c>
      <c r="E9" s="3" t="s">
        <v>74</v>
      </c>
      <c r="F9" s="4">
        <v>6</v>
      </c>
      <c r="G9" s="4">
        <v>14</v>
      </c>
      <c r="H9" s="4">
        <v>28</v>
      </c>
      <c r="I9" s="4">
        <f>CHOOSE(MATCH('01_Control'!$B$2,$F$1:$H$1,0),F9,G9,H9)</f>
        <v>14</v>
      </c>
      <c r="J9" s="3" t="s">
        <v>70</v>
      </c>
      <c r="K9" s="3" t="s">
        <v>71</v>
      </c>
      <c r="L9" s="3" t="s">
        <v>72</v>
      </c>
      <c r="M9" s="3" t="s">
        <v>9</v>
      </c>
    </row>
    <row r="10" spans="1:13" x14ac:dyDescent="0.25">
      <c r="A10" s="3" t="s">
        <v>77</v>
      </c>
      <c r="B10" s="3" t="s">
        <v>78</v>
      </c>
      <c r="C10" s="3" t="s">
        <v>79</v>
      </c>
      <c r="D10" s="3" t="s">
        <v>69</v>
      </c>
      <c r="E10" s="3" t="s">
        <v>75</v>
      </c>
      <c r="F10" s="4">
        <v>9</v>
      </c>
      <c r="G10" s="4">
        <v>22</v>
      </c>
      <c r="H10" s="4">
        <v>42</v>
      </c>
      <c r="I10" s="4">
        <f>CHOOSE(MATCH('01_Control'!$B$2,$F$1:$H$1,0),F10,G10,H10)</f>
        <v>22</v>
      </c>
      <c r="J10" s="3" t="s">
        <v>70</v>
      </c>
      <c r="K10" s="3" t="s">
        <v>71</v>
      </c>
      <c r="L10" s="3" t="s">
        <v>72</v>
      </c>
      <c r="M10" s="3" t="s">
        <v>9</v>
      </c>
    </row>
    <row r="11" spans="1:13" x14ac:dyDescent="0.25">
      <c r="A11" s="3" t="s">
        <v>77</v>
      </c>
      <c r="B11" s="3" t="s">
        <v>78</v>
      </c>
      <c r="C11" s="3" t="s">
        <v>79</v>
      </c>
      <c r="D11" s="3" t="s">
        <v>69</v>
      </c>
      <c r="E11" s="3" t="s">
        <v>76</v>
      </c>
      <c r="F11" s="4">
        <v>12</v>
      </c>
      <c r="G11" s="4">
        <v>32</v>
      </c>
      <c r="H11" s="4">
        <v>60</v>
      </c>
      <c r="I11" s="4">
        <f>CHOOSE(MATCH('01_Control'!$B$2,$F$1:$H$1,0),F11,G11,H11)</f>
        <v>32</v>
      </c>
      <c r="J11" s="3" t="s">
        <v>70</v>
      </c>
      <c r="K11" s="3" t="s">
        <v>71</v>
      </c>
      <c r="L11" s="3" t="s">
        <v>72</v>
      </c>
      <c r="M11" s="3" t="s">
        <v>9</v>
      </c>
    </row>
    <row r="12" spans="1:13" x14ac:dyDescent="0.25">
      <c r="A12" s="3" t="s">
        <v>80</v>
      </c>
      <c r="B12" s="3" t="s">
        <v>81</v>
      </c>
      <c r="C12" s="3" t="s">
        <v>82</v>
      </c>
      <c r="D12" s="3" t="s">
        <v>69</v>
      </c>
      <c r="E12" s="3" t="s">
        <v>33</v>
      </c>
      <c r="F12" s="4">
        <v>4</v>
      </c>
      <c r="G12" s="4">
        <v>5</v>
      </c>
      <c r="H12" s="4">
        <v>6</v>
      </c>
      <c r="I12" s="4">
        <f>CHOOSE(MATCH('01_Control'!$B$2,$F$1:$H$1,0),F12,G12,H12)</f>
        <v>5</v>
      </c>
      <c r="J12" s="3" t="s">
        <v>70</v>
      </c>
      <c r="K12" s="3" t="s">
        <v>71</v>
      </c>
      <c r="L12" s="3" t="s">
        <v>72</v>
      </c>
      <c r="M12" s="3" t="s">
        <v>9</v>
      </c>
    </row>
    <row r="13" spans="1:13" x14ac:dyDescent="0.25">
      <c r="A13" s="3" t="s">
        <v>80</v>
      </c>
      <c r="B13" s="3" t="s">
        <v>81</v>
      </c>
      <c r="C13" s="3" t="s">
        <v>82</v>
      </c>
      <c r="D13" s="3" t="s">
        <v>69</v>
      </c>
      <c r="E13" s="3" t="s">
        <v>73</v>
      </c>
      <c r="F13" s="4">
        <v>6</v>
      </c>
      <c r="G13" s="4">
        <v>7</v>
      </c>
      <c r="H13" s="4">
        <v>8</v>
      </c>
      <c r="I13" s="4">
        <f>CHOOSE(MATCH('01_Control'!$B$2,$F$1:$H$1,0),F13,G13,H13)</f>
        <v>7</v>
      </c>
      <c r="J13" s="3" t="s">
        <v>70</v>
      </c>
      <c r="K13" s="3" t="s">
        <v>71</v>
      </c>
      <c r="L13" s="3" t="s">
        <v>72</v>
      </c>
      <c r="M13" s="3" t="s">
        <v>9</v>
      </c>
    </row>
    <row r="14" spans="1:13" x14ac:dyDescent="0.25">
      <c r="A14" s="3" t="s">
        <v>80</v>
      </c>
      <c r="B14" s="3" t="s">
        <v>81</v>
      </c>
      <c r="C14" s="3" t="s">
        <v>82</v>
      </c>
      <c r="D14" s="3" t="s">
        <v>69</v>
      </c>
      <c r="E14" s="3" t="s">
        <v>74</v>
      </c>
      <c r="F14" s="4">
        <v>7</v>
      </c>
      <c r="G14" s="4">
        <v>8</v>
      </c>
      <c r="H14" s="4">
        <v>9</v>
      </c>
      <c r="I14" s="4">
        <f>CHOOSE(MATCH('01_Control'!$B$2,$F$1:$H$1,0),F14,G14,H14)</f>
        <v>8</v>
      </c>
      <c r="J14" s="3" t="s">
        <v>70</v>
      </c>
      <c r="K14" s="3" t="s">
        <v>71</v>
      </c>
      <c r="L14" s="3" t="s">
        <v>72</v>
      </c>
      <c r="M14" s="3" t="s">
        <v>9</v>
      </c>
    </row>
    <row r="15" spans="1:13" x14ac:dyDescent="0.25">
      <c r="A15" s="3" t="s">
        <v>80</v>
      </c>
      <c r="B15" s="3" t="s">
        <v>81</v>
      </c>
      <c r="C15" s="3" t="s">
        <v>82</v>
      </c>
      <c r="D15" s="3" t="s">
        <v>69</v>
      </c>
      <c r="E15" s="3" t="s">
        <v>75</v>
      </c>
      <c r="F15" s="4">
        <v>8</v>
      </c>
      <c r="G15" s="4">
        <v>9</v>
      </c>
      <c r="H15" s="4">
        <v>10</v>
      </c>
      <c r="I15" s="4">
        <f>CHOOSE(MATCH('01_Control'!$B$2,$F$1:$H$1,0),F15,G15,H15)</f>
        <v>9</v>
      </c>
      <c r="J15" s="3" t="s">
        <v>70</v>
      </c>
      <c r="K15" s="3" t="s">
        <v>71</v>
      </c>
      <c r="L15" s="3" t="s">
        <v>72</v>
      </c>
      <c r="M15" s="3" t="s">
        <v>9</v>
      </c>
    </row>
    <row r="16" spans="1:13" x14ac:dyDescent="0.25">
      <c r="A16" s="3" t="s">
        <v>80</v>
      </c>
      <c r="B16" s="3" t="s">
        <v>81</v>
      </c>
      <c r="C16" s="3" t="s">
        <v>82</v>
      </c>
      <c r="D16" s="3" t="s">
        <v>69</v>
      </c>
      <c r="E16" s="3" t="s">
        <v>76</v>
      </c>
      <c r="F16" s="4">
        <v>8</v>
      </c>
      <c r="G16" s="4">
        <v>10</v>
      </c>
      <c r="H16" s="4">
        <v>10</v>
      </c>
      <c r="I16" s="4">
        <f>CHOOSE(MATCH('01_Control'!$B$2,$F$1:$H$1,0),F16,G16,H16)</f>
        <v>10</v>
      </c>
      <c r="J16" s="3" t="s">
        <v>70</v>
      </c>
      <c r="K16" s="3" t="s">
        <v>71</v>
      </c>
      <c r="L16" s="3" t="s">
        <v>72</v>
      </c>
      <c r="M16" s="3" t="s">
        <v>9</v>
      </c>
    </row>
    <row r="17" spans="1:13" x14ac:dyDescent="0.25">
      <c r="A17" s="3" t="s">
        <v>83</v>
      </c>
      <c r="B17" s="3" t="s">
        <v>84</v>
      </c>
      <c r="C17" s="3" t="s">
        <v>85</v>
      </c>
      <c r="D17" s="3" t="s">
        <v>86</v>
      </c>
      <c r="E17" s="3" t="s">
        <v>87</v>
      </c>
      <c r="F17" s="4">
        <v>2</v>
      </c>
      <c r="G17" s="4">
        <v>4</v>
      </c>
      <c r="H17" s="4">
        <v>6</v>
      </c>
      <c r="I17" s="4">
        <f>CHOOSE(MATCH('01_Control'!$B$2,$F$1:$H$1,0),F17,G17,H17)</f>
        <v>4</v>
      </c>
      <c r="J17" s="3" t="s">
        <v>70</v>
      </c>
      <c r="K17" s="3" t="s">
        <v>71</v>
      </c>
      <c r="L17" s="3" t="s">
        <v>72</v>
      </c>
      <c r="M17" s="3" t="s">
        <v>9</v>
      </c>
    </row>
    <row r="18" spans="1:13" x14ac:dyDescent="0.25">
      <c r="A18" s="3" t="s">
        <v>88</v>
      </c>
      <c r="B18" s="3" t="s">
        <v>89</v>
      </c>
      <c r="C18" s="3" t="s">
        <v>90</v>
      </c>
      <c r="D18" s="3" t="s">
        <v>86</v>
      </c>
      <c r="E18" s="3" t="s">
        <v>87</v>
      </c>
      <c r="F18" s="4">
        <v>1</v>
      </c>
      <c r="G18" s="4">
        <v>2</v>
      </c>
      <c r="H18" s="4">
        <v>2</v>
      </c>
      <c r="I18" s="4">
        <f>CHOOSE(MATCH('01_Control'!$B$2,$F$1:$H$1,0),F18,G18,H18)</f>
        <v>2</v>
      </c>
      <c r="J18" s="3" t="s">
        <v>70</v>
      </c>
      <c r="K18" s="3" t="s">
        <v>71</v>
      </c>
      <c r="L18" s="3" t="s">
        <v>72</v>
      </c>
      <c r="M18" s="3" t="s">
        <v>9</v>
      </c>
    </row>
    <row r="19" spans="1:13" x14ac:dyDescent="0.25">
      <c r="A19" s="3" t="s">
        <v>91</v>
      </c>
      <c r="B19" s="3" t="s">
        <v>92</v>
      </c>
      <c r="C19" s="3" t="s">
        <v>93</v>
      </c>
      <c r="D19" s="3" t="s">
        <v>86</v>
      </c>
      <c r="E19" s="3" t="s">
        <v>87</v>
      </c>
      <c r="F19" s="4">
        <v>20</v>
      </c>
      <c r="G19" s="4">
        <v>35</v>
      </c>
      <c r="H19" s="4">
        <v>60</v>
      </c>
      <c r="I19" s="4">
        <f>CHOOSE(MATCH('01_Control'!$B$2,$F$1:$H$1,0),F19,G19,H19)</f>
        <v>35</v>
      </c>
      <c r="J19" s="3" t="s">
        <v>70</v>
      </c>
      <c r="K19" s="3" t="s">
        <v>71</v>
      </c>
      <c r="L19" s="3" t="s">
        <v>72</v>
      </c>
      <c r="M19" s="3" t="s">
        <v>9</v>
      </c>
    </row>
    <row r="20" spans="1:13" x14ac:dyDescent="0.25">
      <c r="A20" s="3" t="s">
        <v>94</v>
      </c>
      <c r="B20" s="3" t="s">
        <v>95</v>
      </c>
      <c r="C20" s="3" t="s">
        <v>96</v>
      </c>
      <c r="D20" s="3" t="s">
        <v>86</v>
      </c>
      <c r="E20" s="3" t="s">
        <v>87</v>
      </c>
      <c r="F20" s="4">
        <v>0.92</v>
      </c>
      <c r="G20" s="4">
        <v>0.96</v>
      </c>
      <c r="H20" s="4">
        <v>0.98</v>
      </c>
      <c r="I20" s="4">
        <f>CHOOSE(MATCH('01_Control'!$B$2,$F$1:$H$1,0),F20,G20,H20)</f>
        <v>0.96</v>
      </c>
      <c r="J20" s="3" t="s">
        <v>70</v>
      </c>
      <c r="K20" s="3" t="s">
        <v>71</v>
      </c>
      <c r="L20" s="3" t="s">
        <v>72</v>
      </c>
      <c r="M20" s="3" t="s">
        <v>9</v>
      </c>
    </row>
    <row r="21" spans="1:13" x14ac:dyDescent="0.25">
      <c r="A21" s="3" t="s">
        <v>97</v>
      </c>
      <c r="B21" s="3" t="s">
        <v>98</v>
      </c>
      <c r="C21" s="3" t="s">
        <v>99</v>
      </c>
      <c r="D21" s="3" t="s">
        <v>100</v>
      </c>
      <c r="E21" s="3" t="s">
        <v>87</v>
      </c>
      <c r="F21" s="3" t="s">
        <v>101</v>
      </c>
      <c r="G21" s="3" t="s">
        <v>101</v>
      </c>
      <c r="H21" s="3" t="s">
        <v>101</v>
      </c>
      <c r="I21" s="3" t="str">
        <f>CHOOSE(MATCH('01_Control'!$B$2,$F$1:$H$1,0),F21,G21,H21)</f>
        <v>CUS-001 x CUS-002 x CUS-003 x VOL-002</v>
      </c>
      <c r="J21" s="3" t="s">
        <v>102</v>
      </c>
      <c r="K21" s="3" t="s">
        <v>103</v>
      </c>
      <c r="L21" s="3" t="s">
        <v>104</v>
      </c>
      <c r="M21" s="3" t="s">
        <v>9</v>
      </c>
    </row>
    <row r="22" spans="1:13" x14ac:dyDescent="0.25">
      <c r="A22" s="3" t="s">
        <v>105</v>
      </c>
      <c r="B22" s="3" t="s">
        <v>106</v>
      </c>
      <c r="C22" s="3" t="s">
        <v>107</v>
      </c>
      <c r="D22" s="3" t="s">
        <v>86</v>
      </c>
      <c r="E22" s="3" t="s">
        <v>87</v>
      </c>
      <c r="F22" s="4">
        <v>1500</v>
      </c>
      <c r="G22" s="4">
        <v>3000</v>
      </c>
      <c r="H22" s="4">
        <v>5000</v>
      </c>
      <c r="I22" s="4">
        <f>CHOOSE(MATCH('01_Control'!$B$2,$F$1:$H$1,0),F22,G22,H22)</f>
        <v>3000</v>
      </c>
      <c r="J22" s="3" t="s">
        <v>70</v>
      </c>
      <c r="K22" s="3" t="s">
        <v>71</v>
      </c>
      <c r="L22" s="3" t="s">
        <v>72</v>
      </c>
      <c r="M22" s="3" t="s">
        <v>9</v>
      </c>
    </row>
    <row r="23" spans="1:13" x14ac:dyDescent="0.25">
      <c r="A23" s="3" t="s">
        <v>108</v>
      </c>
      <c r="B23" s="3" t="s">
        <v>109</v>
      </c>
      <c r="C23" s="3" t="s">
        <v>110</v>
      </c>
      <c r="D23" s="3" t="s">
        <v>86</v>
      </c>
      <c r="E23" s="3" t="s">
        <v>87</v>
      </c>
      <c r="F23" s="4">
        <v>300</v>
      </c>
      <c r="G23" s="4">
        <v>750</v>
      </c>
      <c r="H23" s="4">
        <v>1250</v>
      </c>
      <c r="I23" s="4">
        <f>CHOOSE(MATCH('01_Control'!$B$2,$F$1:$H$1,0),F23,G23,H23)</f>
        <v>750</v>
      </c>
      <c r="J23" s="3" t="s">
        <v>70</v>
      </c>
      <c r="K23" s="3" t="s">
        <v>71</v>
      </c>
      <c r="L23" s="3" t="s">
        <v>72</v>
      </c>
      <c r="M23" s="3" t="s">
        <v>9</v>
      </c>
    </row>
    <row r="24" spans="1:13" x14ac:dyDescent="0.25">
      <c r="A24" s="3" t="s">
        <v>111</v>
      </c>
      <c r="B24" s="3" t="s">
        <v>112</v>
      </c>
      <c r="C24" s="3" t="s">
        <v>113</v>
      </c>
      <c r="D24" s="3" t="s">
        <v>86</v>
      </c>
      <c r="E24" s="3" t="s">
        <v>87</v>
      </c>
      <c r="F24" s="4">
        <v>50000</v>
      </c>
      <c r="G24" s="4">
        <v>50000</v>
      </c>
      <c r="H24" s="4">
        <v>50000</v>
      </c>
      <c r="I24" s="4">
        <f>CHOOSE(MATCH('01_Control'!$B$2,$F$1:$H$1,0),F24,G24,H24)</f>
        <v>50000</v>
      </c>
      <c r="J24" s="3" t="s">
        <v>70</v>
      </c>
      <c r="K24" s="3" t="s">
        <v>71</v>
      </c>
      <c r="L24" s="3" t="s">
        <v>72</v>
      </c>
      <c r="M24" s="3" t="s">
        <v>9</v>
      </c>
    </row>
    <row r="25" spans="1:13" x14ac:dyDescent="0.25">
      <c r="A25" s="3" t="s">
        <v>114</v>
      </c>
      <c r="B25" s="3" t="s">
        <v>115</v>
      </c>
      <c r="C25" s="3" t="s">
        <v>116</v>
      </c>
      <c r="D25" s="3" t="s">
        <v>86</v>
      </c>
      <c r="E25" s="3" t="s">
        <v>87</v>
      </c>
      <c r="F25" s="4">
        <v>60000</v>
      </c>
      <c r="G25" s="4">
        <v>60000</v>
      </c>
      <c r="H25" s="4">
        <v>60000</v>
      </c>
      <c r="I25" s="4">
        <f>CHOOSE(MATCH('01_Control'!$B$2,$F$1:$H$1,0),F25,G25,H25)</f>
        <v>60000</v>
      </c>
      <c r="J25" s="3" t="s">
        <v>70</v>
      </c>
      <c r="K25" s="3" t="s">
        <v>71</v>
      </c>
      <c r="L25" s="3" t="s">
        <v>72</v>
      </c>
      <c r="M25" s="3" t="s">
        <v>9</v>
      </c>
    </row>
    <row r="26" spans="1:13" x14ac:dyDescent="0.25">
      <c r="A26" s="3" t="s">
        <v>117</v>
      </c>
      <c r="B26" s="3" t="s">
        <v>118</v>
      </c>
      <c r="C26" s="3" t="s">
        <v>119</v>
      </c>
      <c r="D26" s="3" t="s">
        <v>86</v>
      </c>
      <c r="E26" s="3" t="s">
        <v>87</v>
      </c>
      <c r="F26" s="4">
        <v>1</v>
      </c>
      <c r="G26" s="4">
        <v>1.5</v>
      </c>
      <c r="H26" s="4">
        <v>2</v>
      </c>
      <c r="I26" s="4">
        <f>CHOOSE(MATCH('01_Control'!$B$2,$F$1:$H$1,0),F26,G26,H26)</f>
        <v>1.5</v>
      </c>
      <c r="J26" s="3" t="s">
        <v>70</v>
      </c>
      <c r="K26" s="3" t="s">
        <v>71</v>
      </c>
      <c r="L26" s="3" t="s">
        <v>72</v>
      </c>
      <c r="M26" s="3" t="s">
        <v>9</v>
      </c>
    </row>
    <row r="27" spans="1:13" x14ac:dyDescent="0.25">
      <c r="A27" s="3" t="s">
        <v>120</v>
      </c>
      <c r="B27" s="3" t="s">
        <v>121</v>
      </c>
      <c r="C27" s="3" t="s">
        <v>122</v>
      </c>
      <c r="D27" s="3" t="s">
        <v>86</v>
      </c>
      <c r="E27" s="3" t="s">
        <v>87</v>
      </c>
      <c r="F27" s="4">
        <v>0.4</v>
      </c>
      <c r="G27" s="4">
        <v>0.5</v>
      </c>
      <c r="H27" s="4">
        <v>0.6</v>
      </c>
      <c r="I27" s="4">
        <f>CHOOSE(MATCH('01_Control'!$B$2,$F$1:$H$1,0),F27,G27,H27)</f>
        <v>0.5</v>
      </c>
      <c r="J27" s="3" t="s">
        <v>70</v>
      </c>
      <c r="K27" s="3" t="s">
        <v>71</v>
      </c>
      <c r="L27" s="3" t="s">
        <v>72</v>
      </c>
      <c r="M27" s="3" t="s">
        <v>9</v>
      </c>
    </row>
    <row r="28" spans="1:13" x14ac:dyDescent="0.25">
      <c r="A28" s="3" t="s">
        <v>123</v>
      </c>
      <c r="B28" s="3" t="s">
        <v>124</v>
      </c>
      <c r="C28" s="3" t="s">
        <v>125</v>
      </c>
      <c r="D28" s="3" t="s">
        <v>126</v>
      </c>
      <c r="E28" s="3" t="s">
        <v>87</v>
      </c>
      <c r="F28" s="3" t="s">
        <v>127</v>
      </c>
      <c r="G28" s="3" t="s">
        <v>127</v>
      </c>
      <c r="H28" s="3" t="s">
        <v>127</v>
      </c>
      <c r="I28" s="3" t="str">
        <f>CHOOSE(MATCH('01_Control'!$B$2,$F$1:$H$1,0),F28,G28,H28)</f>
        <v>ruralBank 40% / odti 60%</v>
      </c>
      <c r="J28" s="3" t="s">
        <v>70</v>
      </c>
      <c r="K28" s="3" t="s">
        <v>71</v>
      </c>
      <c r="L28" s="3" t="s">
        <v>128</v>
      </c>
      <c r="M28" s="3" t="s">
        <v>129</v>
      </c>
    </row>
    <row r="29" spans="1:13" x14ac:dyDescent="0.25">
      <c r="A29" s="3" t="s">
        <v>130</v>
      </c>
      <c r="B29" s="3" t="s">
        <v>124</v>
      </c>
      <c r="C29" s="3" t="s">
        <v>131</v>
      </c>
      <c r="D29" s="3" t="s">
        <v>126</v>
      </c>
      <c r="E29" s="3" t="s">
        <v>87</v>
      </c>
      <c r="F29" s="3" t="s">
        <v>132</v>
      </c>
      <c r="G29" s="3" t="s">
        <v>132</v>
      </c>
      <c r="H29" s="3" t="s">
        <v>132</v>
      </c>
      <c r="I29" s="3" t="str">
        <f>CHOOSE(MATCH('01_Control'!$B$2,$F$1:$H$1,0),F29,G29,H29)</f>
        <v>ruralBank 60% / odti 40%</v>
      </c>
      <c r="J29" s="3" t="s">
        <v>70</v>
      </c>
      <c r="K29" s="3" t="s">
        <v>71</v>
      </c>
      <c r="L29" s="3" t="s">
        <v>128</v>
      </c>
      <c r="M29" s="3" t="s">
        <v>129</v>
      </c>
    </row>
    <row r="30" spans="1:13" x14ac:dyDescent="0.25">
      <c r="A30" s="3" t="s">
        <v>133</v>
      </c>
      <c r="B30" s="3" t="s">
        <v>134</v>
      </c>
      <c r="C30" s="3" t="s">
        <v>135</v>
      </c>
      <c r="D30" s="3" t="s">
        <v>86</v>
      </c>
      <c r="E30" s="3" t="s">
        <v>87</v>
      </c>
      <c r="F30" s="4">
        <v>3000</v>
      </c>
      <c r="G30" s="4">
        <v>2500</v>
      </c>
      <c r="H30" s="4">
        <v>2000</v>
      </c>
      <c r="I30" s="4">
        <f>CHOOSE(MATCH('01_Control'!$B$2,$F$1:$H$1,0),F30,G30,H30)</f>
        <v>2500</v>
      </c>
      <c r="J30" s="3" t="s">
        <v>70</v>
      </c>
      <c r="K30" s="3" t="s">
        <v>71</v>
      </c>
      <c r="L30" s="3" t="s">
        <v>72</v>
      </c>
      <c r="M30" s="3" t="s">
        <v>9</v>
      </c>
    </row>
    <row r="31" spans="1:13" x14ac:dyDescent="0.25">
      <c r="A31" s="3" t="s">
        <v>136</v>
      </c>
      <c r="B31" s="3" t="s">
        <v>137</v>
      </c>
      <c r="C31" s="3" t="s">
        <v>138</v>
      </c>
      <c r="D31" s="3" t="s">
        <v>86</v>
      </c>
      <c r="E31" s="3" t="s">
        <v>87</v>
      </c>
      <c r="F31" s="4">
        <v>20000</v>
      </c>
      <c r="G31" s="4">
        <v>15000</v>
      </c>
      <c r="H31" s="4">
        <v>12000</v>
      </c>
      <c r="I31" s="4">
        <f>CHOOSE(MATCH('01_Control'!$B$2,$F$1:$H$1,0),F31,G31,H31)</f>
        <v>15000</v>
      </c>
      <c r="J31" s="3" t="s">
        <v>70</v>
      </c>
      <c r="K31" s="3" t="s">
        <v>71</v>
      </c>
      <c r="L31" s="3" t="s">
        <v>72</v>
      </c>
      <c r="M31" s="3" t="s">
        <v>9</v>
      </c>
    </row>
    <row r="32" spans="1:13" x14ac:dyDescent="0.25">
      <c r="A32" s="3" t="s">
        <v>139</v>
      </c>
      <c r="B32" s="3" t="s">
        <v>140</v>
      </c>
      <c r="C32" s="3" t="s">
        <v>141</v>
      </c>
      <c r="D32" s="3" t="s">
        <v>86</v>
      </c>
      <c r="E32" s="3" t="s">
        <v>87</v>
      </c>
      <c r="F32" s="4">
        <v>50000</v>
      </c>
      <c r="G32" s="4">
        <v>50000</v>
      </c>
      <c r="H32" s="4">
        <v>50000</v>
      </c>
      <c r="I32" s="4">
        <f>CHOOSE(MATCH('01_Control'!$B$2,$F$1:$H$1,0),F32,G32,H32)</f>
        <v>50000</v>
      </c>
      <c r="J32" s="3" t="s">
        <v>70</v>
      </c>
      <c r="K32" s="3" t="s">
        <v>71</v>
      </c>
      <c r="L32" s="3" t="s">
        <v>72</v>
      </c>
      <c r="M32" s="3" t="s">
        <v>9</v>
      </c>
    </row>
    <row r="33" spans="1:13" x14ac:dyDescent="0.25">
      <c r="A33" s="3" t="s">
        <v>142</v>
      </c>
      <c r="B33" s="3" t="s">
        <v>143</v>
      </c>
      <c r="C33" s="3" t="s">
        <v>144</v>
      </c>
      <c r="D33" s="3" t="s">
        <v>86</v>
      </c>
      <c r="E33" s="3" t="s">
        <v>87</v>
      </c>
      <c r="F33" s="4">
        <v>10000</v>
      </c>
      <c r="G33" s="4">
        <v>10000</v>
      </c>
      <c r="H33" s="4">
        <v>10000</v>
      </c>
      <c r="I33" s="4">
        <f>CHOOSE(MATCH('01_Control'!$B$2,$F$1:$H$1,0),F33,G33,H33)</f>
        <v>10000</v>
      </c>
      <c r="J33" s="3" t="s">
        <v>70</v>
      </c>
      <c r="K33" s="3" t="s">
        <v>71</v>
      </c>
      <c r="L33" s="3" t="s">
        <v>72</v>
      </c>
      <c r="M33" s="3" t="s">
        <v>9</v>
      </c>
    </row>
    <row r="34" spans="1:13" x14ac:dyDescent="0.25">
      <c r="A34" s="3" t="s">
        <v>145</v>
      </c>
      <c r="B34" s="3" t="s">
        <v>146</v>
      </c>
      <c r="C34" s="3" t="s">
        <v>147</v>
      </c>
      <c r="D34" s="3" t="s">
        <v>86</v>
      </c>
      <c r="E34" s="3" t="s">
        <v>87</v>
      </c>
      <c r="F34" s="4">
        <v>8000</v>
      </c>
      <c r="G34" s="4">
        <v>6000</v>
      </c>
      <c r="H34" s="4">
        <v>5000</v>
      </c>
      <c r="I34" s="4">
        <f>CHOOSE(MATCH('01_Control'!$B$2,$F$1:$H$1,0),F34,G34,H34)</f>
        <v>6000</v>
      </c>
      <c r="J34" s="3" t="s">
        <v>70</v>
      </c>
      <c r="K34" s="3" t="s">
        <v>71</v>
      </c>
      <c r="L34" s="3" t="s">
        <v>72</v>
      </c>
      <c r="M34" s="3" t="s">
        <v>9</v>
      </c>
    </row>
    <row r="35" spans="1:13" x14ac:dyDescent="0.25">
      <c r="A35" s="3" t="s">
        <v>148</v>
      </c>
      <c r="B35" s="3" t="s">
        <v>149</v>
      </c>
      <c r="C35" s="3" t="s">
        <v>150</v>
      </c>
      <c r="D35" s="3" t="s">
        <v>86</v>
      </c>
      <c r="E35" s="3" t="s">
        <v>87</v>
      </c>
      <c r="F35" s="4">
        <v>4000</v>
      </c>
      <c r="G35" s="4">
        <v>3000</v>
      </c>
      <c r="H35" s="4">
        <v>2500</v>
      </c>
      <c r="I35" s="4">
        <f>CHOOSE(MATCH('01_Control'!$B$2,$F$1:$H$1,0),F35,G35,H35)</f>
        <v>3000</v>
      </c>
      <c r="J35" s="3" t="s">
        <v>70</v>
      </c>
      <c r="K35" s="3" t="s">
        <v>71</v>
      </c>
      <c r="L35" s="3" t="s">
        <v>72</v>
      </c>
      <c r="M35" s="3" t="s">
        <v>9</v>
      </c>
    </row>
    <row r="36" spans="1:13" x14ac:dyDescent="0.25">
      <c r="A36" s="3" t="s">
        <v>151</v>
      </c>
      <c r="B36" s="3" t="s">
        <v>152</v>
      </c>
      <c r="C36" s="3" t="s">
        <v>153</v>
      </c>
      <c r="D36" s="3" t="s">
        <v>86</v>
      </c>
      <c r="E36" s="3" t="s">
        <v>87</v>
      </c>
      <c r="F36" s="4">
        <v>0.05</v>
      </c>
      <c r="G36" s="4">
        <v>0.02</v>
      </c>
      <c r="H36" s="4">
        <v>0.01</v>
      </c>
      <c r="I36" s="4">
        <f>CHOOSE(MATCH('01_Control'!$B$2,$F$1:$H$1,0),F36,G36,H36)</f>
        <v>0.02</v>
      </c>
      <c r="J36" s="3" t="s">
        <v>70</v>
      </c>
      <c r="K36" s="3" t="s">
        <v>71</v>
      </c>
      <c r="L36" s="3" t="s">
        <v>72</v>
      </c>
      <c r="M36" s="3" t="s">
        <v>9</v>
      </c>
    </row>
    <row r="37" spans="1:13" x14ac:dyDescent="0.25">
      <c r="A37" s="3" t="s">
        <v>154</v>
      </c>
      <c r="B37" s="3" t="s">
        <v>155</v>
      </c>
      <c r="C37" s="3" t="s">
        <v>156</v>
      </c>
      <c r="D37" s="3" t="s">
        <v>86</v>
      </c>
      <c r="E37" s="3" t="s">
        <v>87</v>
      </c>
      <c r="F37" s="4">
        <v>0.25</v>
      </c>
      <c r="G37" s="4">
        <v>0.5</v>
      </c>
      <c r="H37" s="4">
        <v>0.7</v>
      </c>
      <c r="I37" s="4">
        <f>CHOOSE(MATCH('01_Control'!$B$2,$F$1:$H$1,0),F37,G37,H37)</f>
        <v>0.5</v>
      </c>
      <c r="J37" s="3" t="s">
        <v>70</v>
      </c>
      <c r="K37" s="3" t="s">
        <v>71</v>
      </c>
      <c r="L37" s="3" t="s">
        <v>72</v>
      </c>
      <c r="M37" s="3" t="s">
        <v>9</v>
      </c>
    </row>
    <row r="38" spans="1:13" x14ac:dyDescent="0.25">
      <c r="A38" s="3" t="s">
        <v>157</v>
      </c>
      <c r="B38" s="3" t="s">
        <v>158</v>
      </c>
      <c r="C38" s="3" t="s">
        <v>159</v>
      </c>
      <c r="D38" s="3" t="s">
        <v>86</v>
      </c>
      <c r="E38" s="3" t="s">
        <v>87</v>
      </c>
      <c r="F38" s="4">
        <v>1</v>
      </c>
      <c r="G38" s="4">
        <v>1</v>
      </c>
      <c r="H38" s="4">
        <v>1</v>
      </c>
      <c r="I38" s="4">
        <f>CHOOSE(MATCH('01_Control'!$B$2,$F$1:$H$1,0),F38,G38,H38)</f>
        <v>1</v>
      </c>
      <c r="J38" s="3" t="s">
        <v>70</v>
      </c>
      <c r="K38" s="3" t="s">
        <v>71</v>
      </c>
      <c r="L38" s="3" t="s">
        <v>72</v>
      </c>
      <c r="M38" s="3" t="s">
        <v>9</v>
      </c>
    </row>
    <row r="39" spans="1:13" x14ac:dyDescent="0.25">
      <c r="A39" s="3" t="s">
        <v>160</v>
      </c>
      <c r="B39" s="3" t="s">
        <v>161</v>
      </c>
      <c r="C39" s="3" t="s">
        <v>162</v>
      </c>
      <c r="D39" s="3" t="s">
        <v>86</v>
      </c>
      <c r="E39" s="3" t="s">
        <v>87</v>
      </c>
      <c r="F39" s="4">
        <v>0.7</v>
      </c>
      <c r="G39" s="4">
        <v>0.5</v>
      </c>
      <c r="H39" s="4">
        <v>0.4</v>
      </c>
      <c r="I39" s="4">
        <f>CHOOSE(MATCH('01_Control'!$B$2,$F$1:$H$1,0),F39,G39,H39)</f>
        <v>0.5</v>
      </c>
      <c r="J39" s="3" t="s">
        <v>70</v>
      </c>
      <c r="K39" s="3" t="s">
        <v>71</v>
      </c>
      <c r="L39" s="3" t="s">
        <v>72</v>
      </c>
      <c r="M39" s="3" t="s">
        <v>9</v>
      </c>
    </row>
    <row r="40" spans="1:13" x14ac:dyDescent="0.25">
      <c r="A40" s="3" t="s">
        <v>163</v>
      </c>
      <c r="B40" s="3" t="s">
        <v>164</v>
      </c>
      <c r="C40" s="3" t="s">
        <v>165</v>
      </c>
      <c r="D40" s="3" t="s">
        <v>86</v>
      </c>
      <c r="E40" s="3" t="s">
        <v>87</v>
      </c>
      <c r="F40" s="4">
        <v>0.9</v>
      </c>
      <c r="G40" s="4">
        <v>0.95</v>
      </c>
      <c r="H40" s="4">
        <v>0.97</v>
      </c>
      <c r="I40" s="4">
        <f>CHOOSE(MATCH('01_Control'!$B$2,$F$1:$H$1,0),F40,G40,H40)</f>
        <v>0.95</v>
      </c>
      <c r="J40" s="3" t="s">
        <v>70</v>
      </c>
      <c r="K40" s="3" t="s">
        <v>71</v>
      </c>
      <c r="L40" s="3" t="s">
        <v>72</v>
      </c>
      <c r="M40" s="3" t="s">
        <v>9</v>
      </c>
    </row>
    <row r="41" spans="1:13" x14ac:dyDescent="0.25">
      <c r="A41" s="3" t="s">
        <v>166</v>
      </c>
      <c r="B41" s="3" t="s">
        <v>167</v>
      </c>
      <c r="C41" s="3" t="s">
        <v>168</v>
      </c>
      <c r="D41" s="3" t="s">
        <v>169</v>
      </c>
      <c r="E41" s="3" t="s">
        <v>87</v>
      </c>
      <c r="F41" s="3" t="s">
        <v>170</v>
      </c>
      <c r="G41" s="3" t="s">
        <v>170</v>
      </c>
      <c r="H41" s="3" t="s">
        <v>170</v>
      </c>
      <c r="I41" s="3" t="str">
        <f>CHOOSE(MATCH('01_Control'!$B$2,$F$1:$H$1,0),F41,G41,H41)</f>
        <v>Delivered-only billing; failed attempts excluded</v>
      </c>
      <c r="J41" s="3" t="s">
        <v>70</v>
      </c>
      <c r="K41" s="3" t="s">
        <v>71</v>
      </c>
      <c r="L41" s="3" t="s">
        <v>171</v>
      </c>
      <c r="M41" s="3" t="s">
        <v>9</v>
      </c>
    </row>
    <row r="42" spans="1:13" x14ac:dyDescent="0.25">
      <c r="A42" s="3" t="s">
        <v>172</v>
      </c>
      <c r="B42" s="3" t="s">
        <v>173</v>
      </c>
      <c r="C42" s="3" t="s">
        <v>174</v>
      </c>
      <c r="D42" s="3" t="s">
        <v>169</v>
      </c>
      <c r="E42" s="3" t="s">
        <v>87</v>
      </c>
      <c r="F42" s="3" t="s">
        <v>175</v>
      </c>
      <c r="G42" s="3" t="s">
        <v>175</v>
      </c>
      <c r="H42" s="3" t="s">
        <v>175</v>
      </c>
      <c r="I42" s="3" t="str">
        <f>CHOOSE(MATCH('01_Control'!$B$2,$F$1:$H$1,0),F42,G42,H42)</f>
        <v>Internal modeling only; no external SMS use until privacy review</v>
      </c>
      <c r="J42" s="3" t="s">
        <v>70</v>
      </c>
      <c r="K42" s="3" t="s">
        <v>71</v>
      </c>
      <c r="L42" s="3" t="s">
        <v>171</v>
      </c>
      <c r="M42" s="3" t="s">
        <v>9</v>
      </c>
    </row>
    <row r="43" spans="1:13" x14ac:dyDescent="0.25">
      <c r="A43" s="3" t="s">
        <v>176</v>
      </c>
      <c r="B43" s="3" t="s">
        <v>124</v>
      </c>
      <c r="C43" s="3" t="s">
        <v>177</v>
      </c>
      <c r="D43" s="3" t="s">
        <v>169</v>
      </c>
      <c r="E43" s="3" t="s">
        <v>87</v>
      </c>
      <c r="F43" s="3" t="s">
        <v>178</v>
      </c>
      <c r="G43" s="3" t="s">
        <v>178</v>
      </c>
      <c r="H43" s="3" t="s">
        <v>178</v>
      </c>
      <c r="I43" s="3" t="str">
        <f>CHOOSE(MATCH('01_Control'!$B$2,$F$1:$H$1,0),F43,G43,H43)</f>
        <v>Rural Bank retains gross SMS margin; ODTI markup is 0</v>
      </c>
      <c r="J43" s="3" t="s">
        <v>70</v>
      </c>
      <c r="K43" s="3" t="s">
        <v>71</v>
      </c>
      <c r="L43" s="3" t="s">
        <v>171</v>
      </c>
      <c r="M43" s="3" t="s">
        <v>9</v>
      </c>
    </row>
    <row r="44" spans="1:13" x14ac:dyDescent="0.25">
      <c r="A44" s="3" t="s">
        <v>2</v>
      </c>
      <c r="B44" s="3" t="s">
        <v>179</v>
      </c>
      <c r="C44" s="3" t="s">
        <v>180</v>
      </c>
      <c r="D44" s="3" t="s">
        <v>181</v>
      </c>
      <c r="E44" s="3" t="s">
        <v>87</v>
      </c>
      <c r="F44" s="3" t="s">
        <v>49</v>
      </c>
      <c r="G44" s="3" t="s">
        <v>49</v>
      </c>
      <c r="H44" s="3" t="s">
        <v>49</v>
      </c>
      <c r="I44" s="3" t="s">
        <v>49</v>
      </c>
      <c r="J44" s="3" t="s">
        <v>49</v>
      </c>
      <c r="K44" s="3" t="s">
        <v>182</v>
      </c>
      <c r="L44" s="3" t="s">
        <v>183</v>
      </c>
      <c r="M44" s="3" t="s">
        <v>9</v>
      </c>
    </row>
    <row r="45" spans="1:13" x14ac:dyDescent="0.25">
      <c r="A45" s="3" t="s">
        <v>2</v>
      </c>
      <c r="B45" s="3" t="s">
        <v>184</v>
      </c>
      <c r="C45" s="3" t="s">
        <v>185</v>
      </c>
      <c r="D45" s="3" t="s">
        <v>181</v>
      </c>
      <c r="E45" s="3" t="s">
        <v>87</v>
      </c>
      <c r="F45" s="3" t="s">
        <v>49</v>
      </c>
      <c r="G45" s="3" t="s">
        <v>49</v>
      </c>
      <c r="H45" s="3" t="s">
        <v>49</v>
      </c>
      <c r="I45" s="3" t="s">
        <v>49</v>
      </c>
      <c r="J45" s="3" t="s">
        <v>49</v>
      </c>
      <c r="K45" s="3" t="s">
        <v>182</v>
      </c>
      <c r="L45" s="3" t="s">
        <v>183</v>
      </c>
      <c r="M45" s="3" t="s">
        <v>9</v>
      </c>
    </row>
    <row r="46" spans="1:13" x14ac:dyDescent="0.25">
      <c r="A46" s="3" t="s">
        <v>2</v>
      </c>
      <c r="B46" s="3" t="s">
        <v>186</v>
      </c>
      <c r="C46" s="3" t="s">
        <v>187</v>
      </c>
      <c r="D46" s="3" t="s">
        <v>181</v>
      </c>
      <c r="E46" s="3" t="s">
        <v>87</v>
      </c>
      <c r="F46" s="3" t="s">
        <v>49</v>
      </c>
      <c r="G46" s="3" t="s">
        <v>49</v>
      </c>
      <c r="H46" s="3" t="s">
        <v>49</v>
      </c>
      <c r="I46" s="3" t="s">
        <v>49</v>
      </c>
      <c r="J46" s="3" t="s">
        <v>49</v>
      </c>
      <c r="K46" s="3" t="s">
        <v>182</v>
      </c>
      <c r="L46" s="3" t="s">
        <v>183</v>
      </c>
      <c r="M46" s="3" t="s">
        <v>9</v>
      </c>
    </row>
    <row r="47" spans="1:13" x14ac:dyDescent="0.25">
      <c r="A47" s="3" t="s">
        <v>2</v>
      </c>
      <c r="B47" s="3" t="s">
        <v>188</v>
      </c>
      <c r="C47" s="3" t="s">
        <v>189</v>
      </c>
      <c r="D47" s="3" t="s">
        <v>181</v>
      </c>
      <c r="E47" s="3" t="s">
        <v>87</v>
      </c>
      <c r="F47" s="3" t="s">
        <v>49</v>
      </c>
      <c r="G47" s="3" t="s">
        <v>49</v>
      </c>
      <c r="H47" s="3" t="s">
        <v>49</v>
      </c>
      <c r="I47" s="3" t="s">
        <v>49</v>
      </c>
      <c r="J47" s="3" t="s">
        <v>49</v>
      </c>
      <c r="K47" s="3" t="s">
        <v>182</v>
      </c>
      <c r="L47" s="3" t="s">
        <v>183</v>
      </c>
      <c r="M47" s="3" t="s">
        <v>9</v>
      </c>
    </row>
    <row r="48" spans="1:13" x14ac:dyDescent="0.25">
      <c r="A48" s="3" t="s">
        <v>2</v>
      </c>
      <c r="B48" s="3" t="s">
        <v>190</v>
      </c>
      <c r="C48" s="3" t="s">
        <v>191</v>
      </c>
      <c r="D48" s="3" t="s">
        <v>181</v>
      </c>
      <c r="E48" s="3" t="s">
        <v>87</v>
      </c>
      <c r="F48" s="3" t="s">
        <v>49</v>
      </c>
      <c r="G48" s="3" t="s">
        <v>49</v>
      </c>
      <c r="H48" s="3" t="s">
        <v>49</v>
      </c>
      <c r="I48" s="3" t="s">
        <v>49</v>
      </c>
      <c r="J48" s="3" t="s">
        <v>49</v>
      </c>
      <c r="K48" s="3" t="s">
        <v>182</v>
      </c>
      <c r="L48" s="3" t="s">
        <v>183</v>
      </c>
      <c r="M48" s="3" t="s">
        <v>9</v>
      </c>
    </row>
    <row r="49" spans="1:13" x14ac:dyDescent="0.25">
      <c r="A49" s="3" t="s">
        <v>2</v>
      </c>
      <c r="B49" s="3" t="s">
        <v>192</v>
      </c>
      <c r="C49" s="3" t="s">
        <v>193</v>
      </c>
      <c r="D49" s="3" t="s">
        <v>181</v>
      </c>
      <c r="E49" s="3" t="s">
        <v>87</v>
      </c>
      <c r="F49" s="3" t="s">
        <v>49</v>
      </c>
      <c r="G49" s="3" t="s">
        <v>49</v>
      </c>
      <c r="H49" s="3" t="s">
        <v>49</v>
      </c>
      <c r="I49" s="3" t="s">
        <v>49</v>
      </c>
      <c r="J49" s="3" t="s">
        <v>49</v>
      </c>
      <c r="K49" s="3" t="s">
        <v>182</v>
      </c>
      <c r="L49" s="3" t="s">
        <v>183</v>
      </c>
      <c r="M49" s="3" t="s">
        <v>9</v>
      </c>
    </row>
    <row r="50" spans="1:13" x14ac:dyDescent="0.25">
      <c r="A50" s="3" t="s">
        <v>2</v>
      </c>
      <c r="B50" s="3" t="s">
        <v>194</v>
      </c>
      <c r="C50" s="3" t="s">
        <v>195</v>
      </c>
      <c r="D50" s="3" t="s">
        <v>181</v>
      </c>
      <c r="E50" s="3" t="s">
        <v>87</v>
      </c>
      <c r="F50" s="3" t="s">
        <v>49</v>
      </c>
      <c r="G50" s="3" t="s">
        <v>49</v>
      </c>
      <c r="H50" s="3" t="s">
        <v>49</v>
      </c>
      <c r="I50" s="3" t="s">
        <v>49</v>
      </c>
      <c r="J50" s="3" t="s">
        <v>49</v>
      </c>
      <c r="K50" s="3" t="s">
        <v>182</v>
      </c>
      <c r="L50" s="3" t="s">
        <v>183</v>
      </c>
      <c r="M50" s="3" t="s">
        <v>9</v>
      </c>
    </row>
    <row r="51" spans="1:13" x14ac:dyDescent="0.25">
      <c r="A51" s="3" t="s">
        <v>2</v>
      </c>
      <c r="B51" s="3" t="s">
        <v>196</v>
      </c>
      <c r="C51" s="3" t="s">
        <v>197</v>
      </c>
      <c r="D51" s="3" t="s">
        <v>181</v>
      </c>
      <c r="E51" s="3" t="s">
        <v>87</v>
      </c>
      <c r="F51" s="3" t="s">
        <v>49</v>
      </c>
      <c r="G51" s="3" t="s">
        <v>49</v>
      </c>
      <c r="H51" s="3" t="s">
        <v>49</v>
      </c>
      <c r="I51" s="3" t="s">
        <v>49</v>
      </c>
      <c r="J51" s="3" t="s">
        <v>49</v>
      </c>
      <c r="K51" s="3" t="s">
        <v>182</v>
      </c>
      <c r="L51" s="3" t="s">
        <v>183</v>
      </c>
      <c r="M51" s="3" t="s">
        <v>9</v>
      </c>
    </row>
    <row r="52" spans="1:13" x14ac:dyDescent="0.25">
      <c r="A52" s="3" t="s">
        <v>2</v>
      </c>
      <c r="B52" s="3" t="s">
        <v>198</v>
      </c>
      <c r="C52" s="3" t="s">
        <v>199</v>
      </c>
      <c r="D52" s="3" t="s">
        <v>181</v>
      </c>
      <c r="E52" s="3" t="s">
        <v>87</v>
      </c>
      <c r="F52" s="3" t="s">
        <v>49</v>
      </c>
      <c r="G52" s="3" t="s">
        <v>49</v>
      </c>
      <c r="H52" s="3" t="s">
        <v>49</v>
      </c>
      <c r="I52" s="3" t="s">
        <v>49</v>
      </c>
      <c r="J52" s="3" t="s">
        <v>49</v>
      </c>
      <c r="K52" s="3" t="s">
        <v>182</v>
      </c>
      <c r="L52" s="3" t="s">
        <v>183</v>
      </c>
      <c r="M52" s="3" t="s">
        <v>9</v>
      </c>
    </row>
    <row r="53" spans="1:13" x14ac:dyDescent="0.25">
      <c r="A53" s="3" t="s">
        <v>2</v>
      </c>
      <c r="B53" s="3" t="s">
        <v>200</v>
      </c>
      <c r="C53" s="3" t="s">
        <v>199</v>
      </c>
      <c r="D53" s="3" t="s">
        <v>181</v>
      </c>
      <c r="E53" s="3" t="s">
        <v>87</v>
      </c>
      <c r="F53" s="3" t="s">
        <v>49</v>
      </c>
      <c r="G53" s="3" t="s">
        <v>49</v>
      </c>
      <c r="H53" s="3" t="s">
        <v>49</v>
      </c>
      <c r="I53" s="3" t="s">
        <v>49</v>
      </c>
      <c r="J53" s="3" t="s">
        <v>49</v>
      </c>
      <c r="K53" s="3" t="s">
        <v>182</v>
      </c>
      <c r="L53" s="3" t="s">
        <v>183</v>
      </c>
      <c r="M53" s="3" t="s">
        <v>9</v>
      </c>
    </row>
    <row r="54" spans="1:13" x14ac:dyDescent="0.25">
      <c r="A54" s="3" t="s">
        <v>2</v>
      </c>
      <c r="B54" s="3" t="s">
        <v>201</v>
      </c>
      <c r="C54" s="3" t="s">
        <v>199</v>
      </c>
      <c r="D54" s="3" t="s">
        <v>181</v>
      </c>
      <c r="E54" s="3" t="s">
        <v>87</v>
      </c>
      <c r="F54" s="3" t="s">
        <v>49</v>
      </c>
      <c r="G54" s="3" t="s">
        <v>49</v>
      </c>
      <c r="H54" s="3" t="s">
        <v>49</v>
      </c>
      <c r="I54" s="3" t="s">
        <v>49</v>
      </c>
      <c r="J54" s="3" t="s">
        <v>49</v>
      </c>
      <c r="K54" s="3" t="s">
        <v>182</v>
      </c>
      <c r="L54" s="3" t="s">
        <v>183</v>
      </c>
      <c r="M54" s="3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5" customWidth="1"/>
    <col min="2" max="2" width="42" customWidth="1"/>
    <col min="3" max="3" width="20" customWidth="1"/>
    <col min="4" max="4" width="37" customWidth="1"/>
    <col min="5" max="5" width="13" customWidth="1"/>
  </cols>
  <sheetData>
    <row r="1" spans="1:5" s="1" customFormat="1" x14ac:dyDescent="0.25">
      <c r="A1" s="2" t="s">
        <v>202</v>
      </c>
      <c r="B1" s="2" t="s">
        <v>203</v>
      </c>
      <c r="C1" s="2" t="s">
        <v>204</v>
      </c>
      <c r="D1" s="2" t="s">
        <v>205</v>
      </c>
      <c r="E1" s="2" t="s">
        <v>206</v>
      </c>
    </row>
    <row r="2" spans="1:5" x14ac:dyDescent="0.25">
      <c r="A2" s="3" t="s">
        <v>84</v>
      </c>
      <c r="B2" s="3" t="s">
        <v>207</v>
      </c>
      <c r="C2" s="3" t="s">
        <v>208</v>
      </c>
      <c r="D2" s="3" t="s">
        <v>209</v>
      </c>
      <c r="E2" s="3" t="s">
        <v>70</v>
      </c>
    </row>
    <row r="3" spans="1:5" x14ac:dyDescent="0.25">
      <c r="A3" s="3" t="s">
        <v>89</v>
      </c>
      <c r="B3" s="3" t="s">
        <v>98</v>
      </c>
      <c r="C3" s="3" t="s">
        <v>208</v>
      </c>
      <c r="D3" s="3" t="s">
        <v>22</v>
      </c>
      <c r="E3" s="3" t="s">
        <v>70</v>
      </c>
    </row>
    <row r="4" spans="1:5" x14ac:dyDescent="0.25">
      <c r="A4" s="3" t="s">
        <v>92</v>
      </c>
      <c r="B4" s="3" t="s">
        <v>98</v>
      </c>
      <c r="C4" s="3" t="s">
        <v>208</v>
      </c>
      <c r="D4" s="3" t="s">
        <v>22</v>
      </c>
      <c r="E4" s="3" t="s">
        <v>70</v>
      </c>
    </row>
    <row r="5" spans="1:5" x14ac:dyDescent="0.25">
      <c r="A5" s="3" t="s">
        <v>95</v>
      </c>
      <c r="B5" s="3" t="s">
        <v>98</v>
      </c>
      <c r="C5" s="3" t="s">
        <v>208</v>
      </c>
      <c r="D5" s="3" t="s">
        <v>22</v>
      </c>
      <c r="E5" s="3" t="s">
        <v>70</v>
      </c>
    </row>
    <row r="6" spans="1:5" x14ac:dyDescent="0.25">
      <c r="A6" s="3" t="s">
        <v>98</v>
      </c>
      <c r="B6" s="3" t="s">
        <v>210</v>
      </c>
      <c r="C6" s="3" t="s">
        <v>211</v>
      </c>
      <c r="D6" s="3" t="s">
        <v>22</v>
      </c>
      <c r="E6" s="3" t="s">
        <v>102</v>
      </c>
    </row>
    <row r="7" spans="1:5" x14ac:dyDescent="0.25">
      <c r="A7" s="3" t="s">
        <v>67</v>
      </c>
      <c r="B7" s="3" t="s">
        <v>212</v>
      </c>
      <c r="C7" s="3" t="s">
        <v>213</v>
      </c>
      <c r="D7" s="3" t="s">
        <v>21</v>
      </c>
      <c r="E7" s="3" t="s">
        <v>70</v>
      </c>
    </row>
    <row r="8" spans="1:5" x14ac:dyDescent="0.25">
      <c r="A8" s="3" t="s">
        <v>78</v>
      </c>
      <c r="B8" s="3" t="s">
        <v>214</v>
      </c>
      <c r="C8" s="3" t="s">
        <v>213</v>
      </c>
      <c r="D8" s="3" t="s">
        <v>209</v>
      </c>
      <c r="E8" s="3" t="s">
        <v>70</v>
      </c>
    </row>
    <row r="9" spans="1:5" x14ac:dyDescent="0.25">
      <c r="A9" s="3" t="s">
        <v>81</v>
      </c>
      <c r="B9" s="3" t="s">
        <v>210</v>
      </c>
      <c r="C9" s="3" t="s">
        <v>213</v>
      </c>
      <c r="D9" s="3" t="s">
        <v>209</v>
      </c>
      <c r="E9" s="3" t="s">
        <v>70</v>
      </c>
    </row>
    <row r="10" spans="1:5" x14ac:dyDescent="0.25">
      <c r="A10" s="3" t="s">
        <v>155</v>
      </c>
      <c r="B10" s="3" t="s">
        <v>215</v>
      </c>
      <c r="C10" s="3" t="s">
        <v>216</v>
      </c>
      <c r="D10" s="3" t="s">
        <v>217</v>
      </c>
      <c r="E10" s="3" t="s">
        <v>70</v>
      </c>
    </row>
    <row r="11" spans="1:5" x14ac:dyDescent="0.25">
      <c r="A11" s="3" t="s">
        <v>164</v>
      </c>
      <c r="B11" s="3" t="s">
        <v>215</v>
      </c>
      <c r="C11" s="3" t="s">
        <v>216</v>
      </c>
      <c r="D11" s="3" t="s">
        <v>217</v>
      </c>
      <c r="E11" s="3" t="s">
        <v>70</v>
      </c>
    </row>
    <row r="12" spans="1:5" x14ac:dyDescent="0.25">
      <c r="A12" s="3" t="s">
        <v>192</v>
      </c>
      <c r="B12" s="3" t="s">
        <v>218</v>
      </c>
      <c r="C12" s="3" t="s">
        <v>219</v>
      </c>
      <c r="D12" s="3" t="s">
        <v>220</v>
      </c>
      <c r="E12" s="3" t="s">
        <v>49</v>
      </c>
    </row>
    <row r="13" spans="1:5" x14ac:dyDescent="0.25">
      <c r="A13" s="3" t="s">
        <v>179</v>
      </c>
      <c r="B13" s="3" t="s">
        <v>221</v>
      </c>
      <c r="C13" s="3" t="s">
        <v>219</v>
      </c>
      <c r="D13" s="3" t="s">
        <v>222</v>
      </c>
      <c r="E13" s="3" t="s">
        <v>49</v>
      </c>
    </row>
    <row r="14" spans="1:5" x14ac:dyDescent="0.25">
      <c r="A14" s="3" t="s">
        <v>184</v>
      </c>
      <c r="B14" s="3" t="s">
        <v>223</v>
      </c>
      <c r="C14" s="3" t="s">
        <v>219</v>
      </c>
      <c r="D14" s="3" t="s">
        <v>224</v>
      </c>
      <c r="E14" s="3" t="s">
        <v>49</v>
      </c>
    </row>
    <row r="15" spans="1:5" x14ac:dyDescent="0.25">
      <c r="A15" s="3" t="s">
        <v>186</v>
      </c>
      <c r="B15" s="3" t="s">
        <v>225</v>
      </c>
      <c r="C15" s="3" t="s">
        <v>219</v>
      </c>
      <c r="D15" s="3" t="s">
        <v>226</v>
      </c>
      <c r="E15" s="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4" customWidth="1"/>
    <col min="2" max="2" width="40" customWidth="1"/>
    <col min="3" max="7" width="12" customWidth="1"/>
  </cols>
  <sheetData>
    <row r="1" spans="1:7" s="1" customFormat="1" x14ac:dyDescent="0.25">
      <c r="A1" s="2" t="s">
        <v>227</v>
      </c>
      <c r="B1" s="2" t="s">
        <v>228</v>
      </c>
      <c r="C1" s="2" t="s">
        <v>33</v>
      </c>
      <c r="D1" s="2" t="s">
        <v>73</v>
      </c>
      <c r="E1" s="2" t="s">
        <v>74</v>
      </c>
      <c r="F1" s="2" t="s">
        <v>75</v>
      </c>
      <c r="G1" s="2" t="s">
        <v>76</v>
      </c>
    </row>
    <row r="2" spans="1:7" x14ac:dyDescent="0.25">
      <c r="A2" s="3" t="s">
        <v>59</v>
      </c>
      <c r="B2" s="3" t="s">
        <v>229</v>
      </c>
      <c r="C2" s="4">
        <f>'02_Assumptions'!$F$2</f>
        <v>2</v>
      </c>
      <c r="D2" s="4">
        <f>'02_Assumptions'!$F$3</f>
        <v>3</v>
      </c>
      <c r="E2" s="4">
        <f>'02_Assumptions'!$F$4</f>
        <v>4</v>
      </c>
      <c r="F2" s="4">
        <f>'02_Assumptions'!$F$5</f>
        <v>4</v>
      </c>
      <c r="G2" s="4">
        <f>'02_Assumptions'!$F$6</f>
        <v>5</v>
      </c>
    </row>
    <row r="3" spans="1:7" x14ac:dyDescent="0.25">
      <c r="A3" s="3" t="s">
        <v>59</v>
      </c>
      <c r="B3" s="3" t="s">
        <v>230</v>
      </c>
      <c r="C3" s="4">
        <f>SUM('02_Assumptions'!$F$2)</f>
        <v>2</v>
      </c>
      <c r="D3" s="4">
        <f>SUM('02_Assumptions'!$F$2,'02_Assumptions'!$F$3)</f>
        <v>5</v>
      </c>
      <c r="E3" s="4">
        <f>SUM('02_Assumptions'!$F$2,'02_Assumptions'!$F$3,'02_Assumptions'!$F$4)</f>
        <v>9</v>
      </c>
      <c r="F3" s="4">
        <f>SUM('02_Assumptions'!$F$2,'02_Assumptions'!$F$3,'02_Assumptions'!$F$4,'02_Assumptions'!$F$5)</f>
        <v>13</v>
      </c>
      <c r="G3" s="4">
        <f>SUM('02_Assumptions'!$F$2,'02_Assumptions'!$F$3,'02_Assumptions'!$F$4,'02_Assumptions'!$F$5,'02_Assumptions'!$F$6)</f>
        <v>18</v>
      </c>
    </row>
    <row r="4" spans="1:7" x14ac:dyDescent="0.25">
      <c r="A4" s="3" t="s">
        <v>59</v>
      </c>
      <c r="B4" s="3" t="s">
        <v>231</v>
      </c>
      <c r="C4" s="4">
        <f>'02_Assumptions'!$F$7</f>
        <v>1</v>
      </c>
      <c r="D4" s="4">
        <f>'02_Assumptions'!$F$8</f>
        <v>3</v>
      </c>
      <c r="E4" s="4">
        <f>'02_Assumptions'!$F$9</f>
        <v>6</v>
      </c>
      <c r="F4" s="4">
        <f>'02_Assumptions'!$F$10</f>
        <v>9</v>
      </c>
      <c r="G4" s="4">
        <f>'02_Assumptions'!$F$11</f>
        <v>12</v>
      </c>
    </row>
    <row r="5" spans="1:7" x14ac:dyDescent="0.25">
      <c r="A5" s="3" t="s">
        <v>59</v>
      </c>
      <c r="B5" s="3" t="s">
        <v>232</v>
      </c>
      <c r="C5" s="4">
        <f>'02_Assumptions'!$F$12</f>
        <v>4</v>
      </c>
      <c r="D5" s="4">
        <f>'02_Assumptions'!$F$13</f>
        <v>6</v>
      </c>
      <c r="E5" s="4">
        <f>'02_Assumptions'!$F$14</f>
        <v>7</v>
      </c>
      <c r="F5" s="4">
        <f>'02_Assumptions'!$F$15</f>
        <v>8</v>
      </c>
      <c r="G5" s="4">
        <f>'02_Assumptions'!$F$16</f>
        <v>8</v>
      </c>
    </row>
    <row r="6" spans="1:7" x14ac:dyDescent="0.25">
      <c r="A6" s="3" t="s">
        <v>59</v>
      </c>
      <c r="B6" s="3" t="s">
        <v>233</v>
      </c>
      <c r="C6" s="4">
        <f>'02_Assumptions'!$F$7*'02_Assumptions'!$F$17</f>
        <v>2</v>
      </c>
      <c r="D6" s="4">
        <f>'02_Assumptions'!$F$8*'02_Assumptions'!$F$17</f>
        <v>6</v>
      </c>
      <c r="E6" s="4">
        <f>'02_Assumptions'!$F$9*'02_Assumptions'!$F$17</f>
        <v>12</v>
      </c>
      <c r="F6" s="4">
        <f>'02_Assumptions'!$F$10*'02_Assumptions'!$F$17</f>
        <v>18</v>
      </c>
      <c r="G6" s="4">
        <f>'02_Assumptions'!$F$11*'02_Assumptions'!$F$17</f>
        <v>24</v>
      </c>
    </row>
    <row r="7" spans="1:7" x14ac:dyDescent="0.25">
      <c r="A7" s="3" t="s">
        <v>59</v>
      </c>
      <c r="B7" s="3" t="s">
        <v>234</v>
      </c>
      <c r="C7" s="4">
        <f>'02_Assumptions'!$F$2*'02_Assumptions'!$F$17</f>
        <v>4</v>
      </c>
      <c r="D7" s="4">
        <f>'02_Assumptions'!$F$3*'02_Assumptions'!$F$17</f>
        <v>6</v>
      </c>
      <c r="E7" s="4">
        <f>'02_Assumptions'!$F$4*'02_Assumptions'!$F$17</f>
        <v>8</v>
      </c>
      <c r="F7" s="4">
        <f>'02_Assumptions'!$F$5*'02_Assumptions'!$F$17</f>
        <v>8</v>
      </c>
      <c r="G7" s="4">
        <f>'02_Assumptions'!$F$6*'02_Assumptions'!$F$17</f>
        <v>10</v>
      </c>
    </row>
    <row r="8" spans="1:7" x14ac:dyDescent="0.25">
      <c r="A8" s="3" t="s">
        <v>29</v>
      </c>
      <c r="B8" s="3" t="s">
        <v>229</v>
      </c>
      <c r="C8" s="4">
        <f>'02_Assumptions'!$G$2</f>
        <v>5</v>
      </c>
      <c r="D8" s="4">
        <f>'02_Assumptions'!$G$3</f>
        <v>7</v>
      </c>
      <c r="E8" s="4">
        <f>'02_Assumptions'!$G$4</f>
        <v>8</v>
      </c>
      <c r="F8" s="4">
        <f>'02_Assumptions'!$G$5</f>
        <v>10</v>
      </c>
      <c r="G8" s="4">
        <f>'02_Assumptions'!$G$6</f>
        <v>10</v>
      </c>
    </row>
    <row r="9" spans="1:7" x14ac:dyDescent="0.25">
      <c r="A9" s="3" t="s">
        <v>29</v>
      </c>
      <c r="B9" s="3" t="s">
        <v>230</v>
      </c>
      <c r="C9" s="4">
        <f>SUM('02_Assumptions'!$G$2)</f>
        <v>5</v>
      </c>
      <c r="D9" s="4">
        <f>SUM('02_Assumptions'!$G$2,'02_Assumptions'!$G$3)</f>
        <v>12</v>
      </c>
      <c r="E9" s="4">
        <f>SUM('02_Assumptions'!$G$2,'02_Assumptions'!$G$3,'02_Assumptions'!$G$4)</f>
        <v>20</v>
      </c>
      <c r="F9" s="4">
        <f>SUM('02_Assumptions'!$G$2,'02_Assumptions'!$G$3,'02_Assumptions'!$G$4,'02_Assumptions'!$G$5)</f>
        <v>30</v>
      </c>
      <c r="G9" s="4">
        <f>SUM('02_Assumptions'!$G$2,'02_Assumptions'!$G$3,'02_Assumptions'!$G$4,'02_Assumptions'!$G$5,'02_Assumptions'!$G$6)</f>
        <v>40</v>
      </c>
    </row>
    <row r="10" spans="1:7" x14ac:dyDescent="0.25">
      <c r="A10" s="3" t="s">
        <v>29</v>
      </c>
      <c r="B10" s="3" t="s">
        <v>231</v>
      </c>
      <c r="C10" s="4">
        <f>'02_Assumptions'!$G$7</f>
        <v>3</v>
      </c>
      <c r="D10" s="4">
        <f>'02_Assumptions'!$G$8</f>
        <v>8</v>
      </c>
      <c r="E10" s="4">
        <f>'02_Assumptions'!$G$9</f>
        <v>14</v>
      </c>
      <c r="F10" s="4">
        <f>'02_Assumptions'!$G$10</f>
        <v>22</v>
      </c>
      <c r="G10" s="4">
        <f>'02_Assumptions'!$G$11</f>
        <v>32</v>
      </c>
    </row>
    <row r="11" spans="1:7" x14ac:dyDescent="0.25">
      <c r="A11" s="3" t="s">
        <v>29</v>
      </c>
      <c r="B11" s="3" t="s">
        <v>232</v>
      </c>
      <c r="C11" s="4">
        <f>'02_Assumptions'!$G$12</f>
        <v>5</v>
      </c>
      <c r="D11" s="4">
        <f>'02_Assumptions'!$G$13</f>
        <v>7</v>
      </c>
      <c r="E11" s="4">
        <f>'02_Assumptions'!$G$14</f>
        <v>8</v>
      </c>
      <c r="F11" s="4">
        <f>'02_Assumptions'!$G$15</f>
        <v>9</v>
      </c>
      <c r="G11" s="4">
        <f>'02_Assumptions'!$G$16</f>
        <v>10</v>
      </c>
    </row>
    <row r="12" spans="1:7" x14ac:dyDescent="0.25">
      <c r="A12" s="3" t="s">
        <v>29</v>
      </c>
      <c r="B12" s="3" t="s">
        <v>233</v>
      </c>
      <c r="C12" s="4">
        <f>'02_Assumptions'!$G$7*'02_Assumptions'!$G$17</f>
        <v>12</v>
      </c>
      <c r="D12" s="4">
        <f>'02_Assumptions'!$G$8*'02_Assumptions'!$G$17</f>
        <v>32</v>
      </c>
      <c r="E12" s="4">
        <f>'02_Assumptions'!$G$9*'02_Assumptions'!$G$17</f>
        <v>56</v>
      </c>
      <c r="F12" s="4">
        <f>'02_Assumptions'!$G$10*'02_Assumptions'!$G$17</f>
        <v>88</v>
      </c>
      <c r="G12" s="4">
        <f>'02_Assumptions'!$G$11*'02_Assumptions'!$G$17</f>
        <v>128</v>
      </c>
    </row>
    <row r="13" spans="1:7" x14ac:dyDescent="0.25">
      <c r="A13" s="3" t="s">
        <v>29</v>
      </c>
      <c r="B13" s="3" t="s">
        <v>234</v>
      </c>
      <c r="C13" s="4">
        <f>'02_Assumptions'!$G$2*'02_Assumptions'!$G$17</f>
        <v>20</v>
      </c>
      <c r="D13" s="4">
        <f>'02_Assumptions'!$G$3*'02_Assumptions'!$G$17</f>
        <v>28</v>
      </c>
      <c r="E13" s="4">
        <f>'02_Assumptions'!$G$4*'02_Assumptions'!$G$17</f>
        <v>32</v>
      </c>
      <c r="F13" s="4">
        <f>'02_Assumptions'!$G$5*'02_Assumptions'!$G$17</f>
        <v>40</v>
      </c>
      <c r="G13" s="4">
        <f>'02_Assumptions'!$G$6*'02_Assumptions'!$G$17</f>
        <v>40</v>
      </c>
    </row>
    <row r="14" spans="1:7" x14ac:dyDescent="0.25">
      <c r="A14" s="3" t="s">
        <v>60</v>
      </c>
      <c r="B14" s="3" t="s">
        <v>229</v>
      </c>
      <c r="C14" s="4">
        <f>'02_Assumptions'!$H$2</f>
        <v>10</v>
      </c>
      <c r="D14" s="4">
        <f>'02_Assumptions'!$H$3</f>
        <v>12</v>
      </c>
      <c r="E14" s="4">
        <f>'02_Assumptions'!$H$4</f>
        <v>15</v>
      </c>
      <c r="F14" s="4">
        <f>'02_Assumptions'!$H$5</f>
        <v>18</v>
      </c>
      <c r="G14" s="4">
        <f>'02_Assumptions'!$H$6</f>
        <v>20</v>
      </c>
    </row>
    <row r="15" spans="1:7" x14ac:dyDescent="0.25">
      <c r="A15" s="3" t="s">
        <v>60</v>
      </c>
      <c r="B15" s="3" t="s">
        <v>230</v>
      </c>
      <c r="C15" s="4">
        <f>SUM('02_Assumptions'!$H$2)</f>
        <v>10</v>
      </c>
      <c r="D15" s="4">
        <f>SUM('02_Assumptions'!$H$2,'02_Assumptions'!$H$3)</f>
        <v>22</v>
      </c>
      <c r="E15" s="4">
        <f>SUM('02_Assumptions'!$H$2,'02_Assumptions'!$H$3,'02_Assumptions'!$H$4)</f>
        <v>37</v>
      </c>
      <c r="F15" s="4">
        <f>SUM('02_Assumptions'!$H$2,'02_Assumptions'!$H$3,'02_Assumptions'!$H$4,'02_Assumptions'!$H$5)</f>
        <v>55</v>
      </c>
      <c r="G15" s="4">
        <f>SUM('02_Assumptions'!$H$2,'02_Assumptions'!$H$3,'02_Assumptions'!$H$4,'02_Assumptions'!$H$5,'02_Assumptions'!$H$6)</f>
        <v>75</v>
      </c>
    </row>
    <row r="16" spans="1:7" x14ac:dyDescent="0.25">
      <c r="A16" s="3" t="s">
        <v>60</v>
      </c>
      <c r="B16" s="3" t="s">
        <v>231</v>
      </c>
      <c r="C16" s="4">
        <f>'02_Assumptions'!$H$7</f>
        <v>7</v>
      </c>
      <c r="D16" s="4">
        <f>'02_Assumptions'!$H$8</f>
        <v>16</v>
      </c>
      <c r="E16" s="4">
        <f>'02_Assumptions'!$H$9</f>
        <v>28</v>
      </c>
      <c r="F16" s="4">
        <f>'02_Assumptions'!$H$10</f>
        <v>42</v>
      </c>
      <c r="G16" s="4">
        <f>'02_Assumptions'!$H$11</f>
        <v>60</v>
      </c>
    </row>
    <row r="17" spans="1:7" x14ac:dyDescent="0.25">
      <c r="A17" s="3" t="s">
        <v>60</v>
      </c>
      <c r="B17" s="3" t="s">
        <v>232</v>
      </c>
      <c r="C17" s="4">
        <f>'02_Assumptions'!$H$12</f>
        <v>6</v>
      </c>
      <c r="D17" s="4">
        <f>'02_Assumptions'!$H$13</f>
        <v>8</v>
      </c>
      <c r="E17" s="4">
        <f>'02_Assumptions'!$H$14</f>
        <v>9</v>
      </c>
      <c r="F17" s="4">
        <f>'02_Assumptions'!$H$15</f>
        <v>10</v>
      </c>
      <c r="G17" s="4">
        <f>'02_Assumptions'!$H$16</f>
        <v>10</v>
      </c>
    </row>
    <row r="18" spans="1:7" x14ac:dyDescent="0.25">
      <c r="A18" s="3" t="s">
        <v>60</v>
      </c>
      <c r="B18" s="3" t="s">
        <v>233</v>
      </c>
      <c r="C18" s="4">
        <f>'02_Assumptions'!$H$7*'02_Assumptions'!$H$17</f>
        <v>42</v>
      </c>
      <c r="D18" s="4">
        <f>'02_Assumptions'!$H$8*'02_Assumptions'!$H$17</f>
        <v>96</v>
      </c>
      <c r="E18" s="4">
        <f>'02_Assumptions'!$H$9*'02_Assumptions'!$H$17</f>
        <v>168</v>
      </c>
      <c r="F18" s="4">
        <f>'02_Assumptions'!$H$10*'02_Assumptions'!$H$17</f>
        <v>252</v>
      </c>
      <c r="G18" s="4">
        <f>'02_Assumptions'!$H$11*'02_Assumptions'!$H$17</f>
        <v>360</v>
      </c>
    </row>
    <row r="19" spans="1:7" x14ac:dyDescent="0.25">
      <c r="A19" s="3" t="s">
        <v>60</v>
      </c>
      <c r="B19" s="3" t="s">
        <v>234</v>
      </c>
      <c r="C19" s="4">
        <f>'02_Assumptions'!$H$2*'02_Assumptions'!$H$17</f>
        <v>60</v>
      </c>
      <c r="D19" s="4">
        <f>'02_Assumptions'!$H$3*'02_Assumptions'!$H$17</f>
        <v>72</v>
      </c>
      <c r="E19" s="4">
        <f>'02_Assumptions'!$H$4*'02_Assumptions'!$H$17</f>
        <v>90</v>
      </c>
      <c r="F19" s="4">
        <f>'02_Assumptions'!$H$5*'02_Assumptions'!$H$17</f>
        <v>108</v>
      </c>
      <c r="G19" s="4">
        <f>'02_Assumptions'!$H$6*'02_Assumptions'!$H$17</f>
        <v>120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4" customWidth="1"/>
    <col min="2" max="2" width="40" customWidth="1"/>
    <col min="3" max="7" width="20" customWidth="1"/>
  </cols>
  <sheetData>
    <row r="1" spans="1:7" s="1" customFormat="1" x14ac:dyDescent="0.25">
      <c r="A1" s="2" t="s">
        <v>227</v>
      </c>
      <c r="B1" s="2" t="s">
        <v>228</v>
      </c>
      <c r="C1" s="2" t="s">
        <v>33</v>
      </c>
      <c r="D1" s="2" t="s">
        <v>73</v>
      </c>
      <c r="E1" s="2" t="s">
        <v>74</v>
      </c>
      <c r="F1" s="2" t="s">
        <v>75</v>
      </c>
      <c r="G1" s="2" t="s">
        <v>76</v>
      </c>
    </row>
    <row r="2" spans="1:7" x14ac:dyDescent="0.25">
      <c r="A2" s="3" t="s">
        <v>59</v>
      </c>
      <c r="B2" s="3" t="s">
        <v>235</v>
      </c>
      <c r="C2" s="4">
        <f>'02_Assumptions'!$F$17*'02_Assumptions'!$F$18*'02_Assumptions'!$F$19*'02_Assumptions'!$F$20</f>
        <v>36.800000000000004</v>
      </c>
      <c r="D2" s="4">
        <f>'02_Assumptions'!$F$17*'02_Assumptions'!$F$18*'02_Assumptions'!$F$19*'02_Assumptions'!$F$20</f>
        <v>36.800000000000004</v>
      </c>
      <c r="E2" s="4">
        <f>'02_Assumptions'!$F$17*'02_Assumptions'!$F$18*'02_Assumptions'!$F$19*'02_Assumptions'!$F$20</f>
        <v>36.800000000000004</v>
      </c>
      <c r="F2" s="4">
        <f>'02_Assumptions'!$F$17*'02_Assumptions'!$F$18*'02_Assumptions'!$F$19*'02_Assumptions'!$F$20</f>
        <v>36.800000000000004</v>
      </c>
      <c r="G2" s="4">
        <f>'02_Assumptions'!$F$17*'02_Assumptions'!$F$18*'02_Assumptions'!$F$19*'02_Assumptions'!$F$20</f>
        <v>36.800000000000004</v>
      </c>
    </row>
    <row r="3" spans="1:7" x14ac:dyDescent="0.25">
      <c r="A3" s="3" t="s">
        <v>59</v>
      </c>
      <c r="B3" s="3" t="s">
        <v>210</v>
      </c>
      <c r="C3" s="4">
        <f>'02_Assumptions'!$F$7*'02_Assumptions'!$F$12*('02_Assumptions'!$F$17*'02_Assumptions'!$F$18*'02_Assumptions'!$F$19*'02_Assumptions'!$F$20)</f>
        <v>147.20000000000002</v>
      </c>
      <c r="D3" s="4">
        <f>'02_Assumptions'!$F$8*'02_Assumptions'!$F$13*('02_Assumptions'!$F$17*'02_Assumptions'!$F$18*'02_Assumptions'!$F$19*'02_Assumptions'!$F$20)</f>
        <v>662.4000000000001</v>
      </c>
      <c r="E3" s="4">
        <f>'02_Assumptions'!$F$9*'02_Assumptions'!$F$14*('02_Assumptions'!$F$17*'02_Assumptions'!$F$18*'02_Assumptions'!$F$19*'02_Assumptions'!$F$20)</f>
        <v>1545.6000000000001</v>
      </c>
      <c r="F3" s="4">
        <f>'02_Assumptions'!$F$10*'02_Assumptions'!$F$15*('02_Assumptions'!$F$17*'02_Assumptions'!$F$18*'02_Assumptions'!$F$19*'02_Assumptions'!$F$20)</f>
        <v>2649.6000000000004</v>
      </c>
      <c r="G3" s="4">
        <f>'02_Assumptions'!$F$11*'02_Assumptions'!$F$16*('02_Assumptions'!$F$17*'02_Assumptions'!$F$18*'02_Assumptions'!$F$19*'02_Assumptions'!$F$20)</f>
        <v>3532.8</v>
      </c>
    </row>
    <row r="4" spans="1:7" x14ac:dyDescent="0.25">
      <c r="A4" s="3" t="s">
        <v>59</v>
      </c>
      <c r="B4" s="3" t="s">
        <v>215</v>
      </c>
      <c r="C4" s="4">
        <f>147.20000000000002*'02_Assumptions'!$F$37*'02_Assumptions'!$F$40</f>
        <v>33.120000000000005</v>
      </c>
      <c r="D4" s="4">
        <f>662.4000000000001*'02_Assumptions'!$F$37*'02_Assumptions'!$F$40</f>
        <v>149.04000000000002</v>
      </c>
      <c r="E4" s="4">
        <f>1545.6000000000001*'02_Assumptions'!$F$37*'02_Assumptions'!$F$40</f>
        <v>347.76000000000005</v>
      </c>
      <c r="F4" s="4">
        <f>2649.6000000000004*'02_Assumptions'!$F$37*'02_Assumptions'!$F$40</f>
        <v>596.1600000000001</v>
      </c>
      <c r="G4" s="4">
        <f>3532.8*'02_Assumptions'!$F$37*'02_Assumptions'!$F$40</f>
        <v>794.8800000000001</v>
      </c>
    </row>
    <row r="5" spans="1:7" x14ac:dyDescent="0.25">
      <c r="A5" s="3" t="s">
        <v>29</v>
      </c>
      <c r="B5" s="3" t="s">
        <v>235</v>
      </c>
      <c r="C5" s="4">
        <f>'02_Assumptions'!$G$17*'02_Assumptions'!$G$18*'02_Assumptions'!$G$19*'02_Assumptions'!$G$20</f>
        <v>268.8</v>
      </c>
      <c r="D5" s="4">
        <f>'02_Assumptions'!$G$17*'02_Assumptions'!$G$18*'02_Assumptions'!$G$19*'02_Assumptions'!$G$20</f>
        <v>268.8</v>
      </c>
      <c r="E5" s="4">
        <f>'02_Assumptions'!$G$17*'02_Assumptions'!$G$18*'02_Assumptions'!$G$19*'02_Assumptions'!$G$20</f>
        <v>268.8</v>
      </c>
      <c r="F5" s="4">
        <f>'02_Assumptions'!$G$17*'02_Assumptions'!$G$18*'02_Assumptions'!$G$19*'02_Assumptions'!$G$20</f>
        <v>268.8</v>
      </c>
      <c r="G5" s="4">
        <f>'02_Assumptions'!$G$17*'02_Assumptions'!$G$18*'02_Assumptions'!$G$19*'02_Assumptions'!$G$20</f>
        <v>268.8</v>
      </c>
    </row>
    <row r="6" spans="1:7" x14ac:dyDescent="0.25">
      <c r="A6" s="3" t="s">
        <v>29</v>
      </c>
      <c r="B6" s="3" t="s">
        <v>210</v>
      </c>
      <c r="C6" s="4">
        <f>'02_Assumptions'!$G$7*'02_Assumptions'!$G$12*('02_Assumptions'!$G$17*'02_Assumptions'!$G$18*'02_Assumptions'!$G$19*'02_Assumptions'!$G$20)</f>
        <v>4032</v>
      </c>
      <c r="D6" s="4">
        <f>'02_Assumptions'!$G$8*'02_Assumptions'!$G$13*('02_Assumptions'!$G$17*'02_Assumptions'!$G$18*'02_Assumptions'!$G$19*'02_Assumptions'!$G$20)</f>
        <v>15052.800000000001</v>
      </c>
      <c r="E6" s="4">
        <f>'02_Assumptions'!$G$9*'02_Assumptions'!$G$14*('02_Assumptions'!$G$17*'02_Assumptions'!$G$18*'02_Assumptions'!$G$19*'02_Assumptions'!$G$20)</f>
        <v>30105.600000000002</v>
      </c>
      <c r="F6" s="4">
        <f>'02_Assumptions'!$G$10*'02_Assumptions'!$G$15*('02_Assumptions'!$G$17*'02_Assumptions'!$G$18*'02_Assumptions'!$G$19*'02_Assumptions'!$G$20)</f>
        <v>53222.4</v>
      </c>
      <c r="G6" s="4">
        <f>'02_Assumptions'!$G$11*'02_Assumptions'!$G$16*('02_Assumptions'!$G$17*'02_Assumptions'!$G$18*'02_Assumptions'!$G$19*'02_Assumptions'!$G$20)</f>
        <v>86016</v>
      </c>
    </row>
    <row r="7" spans="1:7" x14ac:dyDescent="0.25">
      <c r="A7" s="3" t="s">
        <v>29</v>
      </c>
      <c r="B7" s="3" t="s">
        <v>215</v>
      </c>
      <c r="C7" s="4">
        <f>4032*'02_Assumptions'!$G$37*'02_Assumptions'!$G$40</f>
        <v>1915.1999999999998</v>
      </c>
      <c r="D7" s="4">
        <f>15052.800000000001*'02_Assumptions'!$G$37*'02_Assumptions'!$G$40</f>
        <v>7150.08</v>
      </c>
      <c r="E7" s="4">
        <f>30105.600000000002*'02_Assumptions'!$G$37*'02_Assumptions'!$G$40</f>
        <v>14300.16</v>
      </c>
      <c r="F7" s="4">
        <f>53222.4*'02_Assumptions'!$G$37*'02_Assumptions'!$G$40</f>
        <v>25280.64</v>
      </c>
      <c r="G7" s="4">
        <f>86016*'02_Assumptions'!$G$37*'02_Assumptions'!$G$40</f>
        <v>40857.6</v>
      </c>
    </row>
    <row r="8" spans="1:7" x14ac:dyDescent="0.25">
      <c r="A8" s="3" t="s">
        <v>60</v>
      </c>
      <c r="B8" s="3" t="s">
        <v>235</v>
      </c>
      <c r="C8" s="4">
        <f>'02_Assumptions'!$H$17*'02_Assumptions'!$H$18*'02_Assumptions'!$H$19*'02_Assumptions'!$H$20</f>
        <v>705.6</v>
      </c>
      <c r="D8" s="4">
        <f>'02_Assumptions'!$H$17*'02_Assumptions'!$H$18*'02_Assumptions'!$H$19*'02_Assumptions'!$H$20</f>
        <v>705.6</v>
      </c>
      <c r="E8" s="4">
        <f>'02_Assumptions'!$H$17*'02_Assumptions'!$H$18*'02_Assumptions'!$H$19*'02_Assumptions'!$H$20</f>
        <v>705.6</v>
      </c>
      <c r="F8" s="4">
        <f>'02_Assumptions'!$H$17*'02_Assumptions'!$H$18*'02_Assumptions'!$H$19*'02_Assumptions'!$H$20</f>
        <v>705.6</v>
      </c>
      <c r="G8" s="4">
        <f>'02_Assumptions'!$H$17*'02_Assumptions'!$H$18*'02_Assumptions'!$H$19*'02_Assumptions'!$H$20</f>
        <v>705.6</v>
      </c>
    </row>
    <row r="9" spans="1:7" x14ac:dyDescent="0.25">
      <c r="A9" s="3" t="s">
        <v>60</v>
      </c>
      <c r="B9" s="3" t="s">
        <v>210</v>
      </c>
      <c r="C9" s="4">
        <f>'02_Assumptions'!$H$7*'02_Assumptions'!$H$12*('02_Assumptions'!$H$17*'02_Assumptions'!$H$18*'02_Assumptions'!$H$19*'02_Assumptions'!$H$20)</f>
        <v>29635.2</v>
      </c>
      <c r="D9" s="4">
        <f>'02_Assumptions'!$H$8*'02_Assumptions'!$H$13*('02_Assumptions'!$H$17*'02_Assumptions'!$H$18*'02_Assumptions'!$H$19*'02_Assumptions'!$H$20)</f>
        <v>90316.8</v>
      </c>
      <c r="E9" s="4">
        <f>'02_Assumptions'!$H$9*'02_Assumptions'!$H$14*('02_Assumptions'!$H$17*'02_Assumptions'!$H$18*'02_Assumptions'!$H$19*'02_Assumptions'!$H$20)</f>
        <v>177811.2</v>
      </c>
      <c r="F9" s="4">
        <f>'02_Assumptions'!$H$10*'02_Assumptions'!$H$15*('02_Assumptions'!$H$17*'02_Assumptions'!$H$18*'02_Assumptions'!$H$19*'02_Assumptions'!$H$20)</f>
        <v>296352</v>
      </c>
      <c r="G9" s="4">
        <f>'02_Assumptions'!$H$11*'02_Assumptions'!$H$16*('02_Assumptions'!$H$17*'02_Assumptions'!$H$18*'02_Assumptions'!$H$19*'02_Assumptions'!$H$20)</f>
        <v>423360</v>
      </c>
    </row>
    <row r="10" spans="1:7" x14ac:dyDescent="0.25">
      <c r="A10" s="3" t="s">
        <v>60</v>
      </c>
      <c r="B10" s="3" t="s">
        <v>215</v>
      </c>
      <c r="C10" s="4">
        <f>29635.2*'02_Assumptions'!$H$37*'02_Assumptions'!$H$40</f>
        <v>20122.300799999997</v>
      </c>
      <c r="D10" s="4">
        <f>90316.8*'02_Assumptions'!$H$37*'02_Assumptions'!$H$40</f>
        <v>61325.10719999999</v>
      </c>
      <c r="E10" s="4">
        <f>177811.2*'02_Assumptions'!$H$37*'02_Assumptions'!$H$40</f>
        <v>120733.8048</v>
      </c>
      <c r="F10" s="4">
        <f>296352*'02_Assumptions'!$H$37*'02_Assumptions'!$H$40</f>
        <v>201223.008</v>
      </c>
      <c r="G10" s="4">
        <f>423360*'02_Assumptions'!$H$37*'02_Assumptions'!$H$40</f>
        <v>287461.44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42" customWidth="1"/>
    <col min="2" max="2" width="19" customWidth="1"/>
    <col min="3" max="3" width="39" customWidth="1"/>
    <col min="4" max="5" width="12" customWidth="1"/>
    <col min="6" max="6" width="42" customWidth="1"/>
  </cols>
  <sheetData>
    <row r="1" spans="1:6" s="1" customFormat="1" x14ac:dyDescent="0.25">
      <c r="A1" s="2" t="s">
        <v>236</v>
      </c>
      <c r="B1" s="2" t="s">
        <v>237</v>
      </c>
      <c r="C1" s="2" t="s">
        <v>238</v>
      </c>
      <c r="D1" s="2" t="s">
        <v>239</v>
      </c>
      <c r="E1" s="2" t="s">
        <v>206</v>
      </c>
      <c r="F1" s="2" t="s">
        <v>27</v>
      </c>
    </row>
    <row r="2" spans="1:6" x14ac:dyDescent="0.25">
      <c r="A2" s="3" t="s">
        <v>240</v>
      </c>
      <c r="B2" s="3" t="s">
        <v>241</v>
      </c>
      <c r="C2" s="3" t="s">
        <v>242</v>
      </c>
      <c r="D2" s="4">
        <v>0</v>
      </c>
      <c r="E2" s="5" t="s">
        <v>243</v>
      </c>
      <c r="F2" s="3" t="s">
        <v>244</v>
      </c>
    </row>
    <row r="3" spans="1:6" x14ac:dyDescent="0.25">
      <c r="A3" s="3" t="s">
        <v>245</v>
      </c>
      <c r="B3" s="3" t="s">
        <v>241</v>
      </c>
      <c r="C3" s="3" t="s">
        <v>246</v>
      </c>
      <c r="D3" s="4">
        <v>0</v>
      </c>
      <c r="E3" s="5" t="s">
        <v>243</v>
      </c>
      <c r="F3" s="3" t="s">
        <v>244</v>
      </c>
    </row>
    <row r="4" spans="1:6" x14ac:dyDescent="0.25">
      <c r="A4" s="3" t="s">
        <v>247</v>
      </c>
      <c r="B4" s="3" t="s">
        <v>241</v>
      </c>
      <c r="C4" s="3" t="s">
        <v>248</v>
      </c>
      <c r="D4" s="4">
        <v>0</v>
      </c>
      <c r="E4" s="5" t="s">
        <v>243</v>
      </c>
      <c r="F4" s="3" t="s">
        <v>249</v>
      </c>
    </row>
    <row r="5" spans="1:6" x14ac:dyDescent="0.25">
      <c r="A5" s="3" t="s">
        <v>250</v>
      </c>
      <c r="B5" s="3" t="s">
        <v>241</v>
      </c>
      <c r="C5" s="3" t="s">
        <v>251</v>
      </c>
      <c r="D5" s="4">
        <v>0</v>
      </c>
      <c r="E5" s="5" t="s">
        <v>243</v>
      </c>
      <c r="F5" s="3" t="s">
        <v>249</v>
      </c>
    </row>
    <row r="6" spans="1:6" x14ac:dyDescent="0.25">
      <c r="A6" s="3" t="s">
        <v>252</v>
      </c>
      <c r="B6" s="3" t="s">
        <v>241</v>
      </c>
      <c r="C6" s="3" t="s">
        <v>101</v>
      </c>
      <c r="D6" s="4">
        <v>0</v>
      </c>
      <c r="E6" s="5" t="s">
        <v>243</v>
      </c>
      <c r="F6" s="3" t="s">
        <v>253</v>
      </c>
    </row>
    <row r="7" spans="1:6" x14ac:dyDescent="0.25">
      <c r="A7" s="3" t="s">
        <v>254</v>
      </c>
      <c r="B7" s="3" t="s">
        <v>46</v>
      </c>
      <c r="C7" s="3" t="s">
        <v>46</v>
      </c>
      <c r="D7" s="4">
        <v>0</v>
      </c>
      <c r="E7" s="5" t="s">
        <v>243</v>
      </c>
      <c r="F7" s="3" t="s">
        <v>255</v>
      </c>
    </row>
    <row r="8" spans="1:6" x14ac:dyDescent="0.25">
      <c r="A8" s="3" t="s">
        <v>256</v>
      </c>
      <c r="B8" s="3" t="s">
        <v>241</v>
      </c>
      <c r="C8" s="3" t="s">
        <v>257</v>
      </c>
      <c r="D8" s="4">
        <v>0</v>
      </c>
      <c r="E8" s="5" t="s">
        <v>243</v>
      </c>
      <c r="F8" s="3" t="s">
        <v>258</v>
      </c>
    </row>
    <row r="9" spans="1:6" x14ac:dyDescent="0.25">
      <c r="A9" s="3" t="s">
        <v>259</v>
      </c>
      <c r="B9" s="3" t="s">
        <v>241</v>
      </c>
      <c r="C9" s="3" t="s">
        <v>242</v>
      </c>
      <c r="D9" s="4">
        <v>0</v>
      </c>
      <c r="E9" s="5" t="s">
        <v>243</v>
      </c>
      <c r="F9" s="3" t="s">
        <v>260</v>
      </c>
    </row>
    <row r="10" spans="1:6" x14ac:dyDescent="0.25">
      <c r="A10" s="3" t="s">
        <v>261</v>
      </c>
      <c r="B10" s="3" t="s">
        <v>262</v>
      </c>
      <c r="C10" s="3" t="s">
        <v>263</v>
      </c>
      <c r="D10" s="4">
        <v>0</v>
      </c>
      <c r="E10" s="5" t="s">
        <v>243</v>
      </c>
      <c r="F10" s="3" t="s">
        <v>264</v>
      </c>
    </row>
    <row r="11" spans="1:6" x14ac:dyDescent="0.25">
      <c r="A11" s="3" t="s">
        <v>265</v>
      </c>
      <c r="B11" s="3" t="s">
        <v>266</v>
      </c>
      <c r="C11" s="3" t="s">
        <v>49</v>
      </c>
      <c r="D11" s="3" t="s">
        <v>2</v>
      </c>
      <c r="E11" s="6" t="s">
        <v>49</v>
      </c>
      <c r="F11" s="3" t="s">
        <v>267</v>
      </c>
    </row>
    <row r="12" spans="1:6" x14ac:dyDescent="0.25">
      <c r="A12" s="3" t="s">
        <v>268</v>
      </c>
      <c r="B12" s="3" t="s">
        <v>266</v>
      </c>
      <c r="C12" s="3" t="s">
        <v>49</v>
      </c>
      <c r="D12" s="3" t="s">
        <v>2</v>
      </c>
      <c r="E12" s="6" t="s">
        <v>49</v>
      </c>
      <c r="F12" s="3" t="s">
        <v>267</v>
      </c>
    </row>
    <row r="13" spans="1:6" x14ac:dyDescent="0.25">
      <c r="A13" t="s">
        <v>259</v>
      </c>
      <c r="B13" t="s">
        <v>241</v>
      </c>
      <c r="C13" t="s">
        <v>242</v>
      </c>
      <c r="D13">
        <v>0</v>
      </c>
      <c r="E13" s="7" t="s">
        <v>243</v>
      </c>
      <c r="F13" t="s">
        <v>269</v>
      </c>
    </row>
    <row r="14" spans="1:6" x14ac:dyDescent="0.25">
      <c r="A14" t="s">
        <v>270</v>
      </c>
      <c r="B14" t="s">
        <v>241</v>
      </c>
      <c r="C14" t="s">
        <v>271</v>
      </c>
      <c r="D14">
        <v>0</v>
      </c>
      <c r="E14" s="7" t="s">
        <v>243</v>
      </c>
      <c r="F14" t="s">
        <v>272</v>
      </c>
    </row>
    <row r="15" spans="1:6" x14ac:dyDescent="0.25">
      <c r="A15" t="s">
        <v>273</v>
      </c>
      <c r="B15" t="s">
        <v>241</v>
      </c>
      <c r="C15" t="s">
        <v>271</v>
      </c>
      <c r="D15">
        <v>0</v>
      </c>
      <c r="E15" s="7" t="s">
        <v>243</v>
      </c>
      <c r="F15" t="s">
        <v>272</v>
      </c>
    </row>
    <row r="16" spans="1:6" x14ac:dyDescent="0.25">
      <c r="A16" t="s">
        <v>274</v>
      </c>
      <c r="B16" t="s">
        <v>241</v>
      </c>
      <c r="C16" t="s">
        <v>242</v>
      </c>
      <c r="D16">
        <v>0</v>
      </c>
      <c r="E16" s="7" t="s">
        <v>243</v>
      </c>
      <c r="F16" t="s">
        <v>275</v>
      </c>
    </row>
    <row r="17" spans="1:6" x14ac:dyDescent="0.25">
      <c r="A17" t="s">
        <v>276</v>
      </c>
      <c r="B17" t="s">
        <v>241</v>
      </c>
      <c r="C17" t="s">
        <v>277</v>
      </c>
      <c r="D17">
        <v>0</v>
      </c>
      <c r="E17" s="7" t="s">
        <v>243</v>
      </c>
      <c r="F17" t="s">
        <v>278</v>
      </c>
    </row>
    <row r="18" spans="1:6" x14ac:dyDescent="0.25">
      <c r="A18" t="s">
        <v>279</v>
      </c>
      <c r="B18" t="s">
        <v>241</v>
      </c>
      <c r="C18" t="s">
        <v>242</v>
      </c>
      <c r="D18">
        <v>0</v>
      </c>
      <c r="E18" s="7" t="s">
        <v>243</v>
      </c>
      <c r="F18" t="s">
        <v>280</v>
      </c>
    </row>
    <row r="19" spans="1:6" x14ac:dyDescent="0.25">
      <c r="A19" t="s">
        <v>281</v>
      </c>
      <c r="B19" t="s">
        <v>282</v>
      </c>
      <c r="C19" t="s">
        <v>242</v>
      </c>
      <c r="D19">
        <v>0</v>
      </c>
      <c r="E19" s="7" t="s">
        <v>243</v>
      </c>
      <c r="F19" t="s">
        <v>283</v>
      </c>
    </row>
    <row r="20" spans="1:6" x14ac:dyDescent="0.25">
      <c r="A20" t="s">
        <v>284</v>
      </c>
      <c r="B20" t="s">
        <v>285</v>
      </c>
      <c r="C20" t="s">
        <v>263</v>
      </c>
      <c r="D20">
        <v>0</v>
      </c>
      <c r="E20" s="7" t="s">
        <v>243</v>
      </c>
      <c r="F20" t="s">
        <v>286</v>
      </c>
    </row>
    <row r="21" spans="1:6" x14ac:dyDescent="0.25">
      <c r="A21" t="s">
        <v>287</v>
      </c>
      <c r="B21" t="s">
        <v>288</v>
      </c>
      <c r="C21" t="s">
        <v>49</v>
      </c>
      <c r="D21" t="s">
        <v>2</v>
      </c>
      <c r="E21" s="8" t="s">
        <v>49</v>
      </c>
      <c r="F21" t="s">
        <v>289</v>
      </c>
    </row>
    <row r="22" spans="1:6" x14ac:dyDescent="0.25">
      <c r="A22" t="s">
        <v>290</v>
      </c>
      <c r="B22" t="s">
        <v>291</v>
      </c>
      <c r="C22" t="s">
        <v>292</v>
      </c>
      <c r="D22">
        <v>0</v>
      </c>
      <c r="E22" s="7" t="s">
        <v>243</v>
      </c>
      <c r="F22" t="s">
        <v>293</v>
      </c>
    </row>
    <row r="23" spans="1:6" x14ac:dyDescent="0.25">
      <c r="A23" t="s">
        <v>294</v>
      </c>
      <c r="B23" t="s">
        <v>295</v>
      </c>
      <c r="C23" t="s">
        <v>263</v>
      </c>
      <c r="D23">
        <v>0</v>
      </c>
      <c r="E23" s="7" t="s">
        <v>243</v>
      </c>
      <c r="F23" t="s">
        <v>296</v>
      </c>
    </row>
    <row r="24" spans="1:6" x14ac:dyDescent="0.25">
      <c r="A24" t="s">
        <v>297</v>
      </c>
      <c r="B24" t="s">
        <v>298</v>
      </c>
      <c r="C24" t="s">
        <v>299</v>
      </c>
      <c r="D24">
        <v>0</v>
      </c>
      <c r="E24" s="7" t="s">
        <v>243</v>
      </c>
      <c r="F24" t="s">
        <v>300</v>
      </c>
    </row>
    <row r="25" spans="1:6" x14ac:dyDescent="0.25">
      <c r="A25" t="s">
        <v>301</v>
      </c>
      <c r="B25" t="s">
        <v>302</v>
      </c>
      <c r="C25" t="s">
        <v>303</v>
      </c>
      <c r="D25">
        <v>0</v>
      </c>
      <c r="E25" s="7" t="s">
        <v>243</v>
      </c>
      <c r="F25" t="s">
        <v>304</v>
      </c>
    </row>
    <row r="26" spans="1:6" x14ac:dyDescent="0.25">
      <c r="A26" t="s">
        <v>305</v>
      </c>
      <c r="B26" t="s">
        <v>306</v>
      </c>
      <c r="C26" t="s">
        <v>49</v>
      </c>
      <c r="D26" t="s">
        <v>2</v>
      </c>
      <c r="E26" s="8" t="s">
        <v>49</v>
      </c>
      <c r="F26" t="s">
        <v>307</v>
      </c>
    </row>
    <row r="27" spans="1:6" x14ac:dyDescent="0.25">
      <c r="A27" t="s">
        <v>308</v>
      </c>
      <c r="B27" t="s">
        <v>309</v>
      </c>
      <c r="C27" t="s">
        <v>49</v>
      </c>
      <c r="D27" t="s">
        <v>2</v>
      </c>
      <c r="E27" s="8" t="s">
        <v>49</v>
      </c>
      <c r="F27" t="s">
        <v>310</v>
      </c>
    </row>
    <row r="28" spans="1:6" x14ac:dyDescent="0.25">
      <c r="A28" t="s">
        <v>311</v>
      </c>
      <c r="B28" t="s">
        <v>312</v>
      </c>
      <c r="C28" t="s">
        <v>49</v>
      </c>
      <c r="D28" t="s">
        <v>2</v>
      </c>
      <c r="E28" s="8" t="s">
        <v>49</v>
      </c>
      <c r="F28" t="s">
        <v>313</v>
      </c>
    </row>
    <row r="29" spans="1:6" x14ac:dyDescent="0.25">
      <c r="A29" t="s">
        <v>314</v>
      </c>
      <c r="B29" t="s">
        <v>315</v>
      </c>
      <c r="C29" t="s">
        <v>49</v>
      </c>
      <c r="D29" t="s">
        <v>2</v>
      </c>
      <c r="E29" s="8" t="s">
        <v>49</v>
      </c>
      <c r="F29" t="s">
        <v>316</v>
      </c>
    </row>
    <row r="30" spans="1:6" x14ac:dyDescent="0.25">
      <c r="A30" t="s">
        <v>317</v>
      </c>
      <c r="B30" t="s">
        <v>318</v>
      </c>
      <c r="C30" t="s">
        <v>319</v>
      </c>
      <c r="D30">
        <v>0</v>
      </c>
      <c r="E30" s="7" t="s">
        <v>243</v>
      </c>
      <c r="F30" t="s">
        <v>320</v>
      </c>
    </row>
    <row r="31" spans="1:6" x14ac:dyDescent="0.25">
      <c r="A31" t="s">
        <v>321</v>
      </c>
      <c r="B31" t="s">
        <v>322</v>
      </c>
      <c r="C31" t="s">
        <v>323</v>
      </c>
      <c r="D31" t="s">
        <v>2</v>
      </c>
      <c r="E31" s="8" t="s">
        <v>49</v>
      </c>
      <c r="F31" t="s">
        <v>324</v>
      </c>
    </row>
    <row r="32" spans="1:6" x14ac:dyDescent="0.25">
      <c r="A32" t="s">
        <v>325</v>
      </c>
      <c r="B32" t="s">
        <v>322</v>
      </c>
      <c r="C32" t="s">
        <v>49</v>
      </c>
      <c r="D32" t="s">
        <v>2</v>
      </c>
      <c r="E32" s="8" t="s">
        <v>49</v>
      </c>
      <c r="F32" t="s">
        <v>326</v>
      </c>
    </row>
    <row r="33" spans="1:6" x14ac:dyDescent="0.25">
      <c r="A33" t="s">
        <v>327</v>
      </c>
      <c r="B33" t="s">
        <v>328</v>
      </c>
      <c r="C33" t="s">
        <v>329</v>
      </c>
      <c r="D33" t="s">
        <v>2</v>
      </c>
      <c r="E33" s="8" t="s">
        <v>49</v>
      </c>
      <c r="F33" t="s">
        <v>330</v>
      </c>
    </row>
    <row r="34" spans="1:6" x14ac:dyDescent="0.25">
      <c r="A34" t="s">
        <v>331</v>
      </c>
      <c r="B34" t="s">
        <v>332</v>
      </c>
      <c r="C34" t="s">
        <v>49</v>
      </c>
      <c r="D34" t="s">
        <v>2</v>
      </c>
      <c r="E34" s="8" t="s">
        <v>49</v>
      </c>
      <c r="F34" t="s">
        <v>333</v>
      </c>
    </row>
    <row r="35" spans="1:6" x14ac:dyDescent="0.25">
      <c r="A35" t="s">
        <v>334</v>
      </c>
      <c r="B35" t="s">
        <v>335</v>
      </c>
      <c r="C35" t="s">
        <v>49</v>
      </c>
      <c r="D35" t="s">
        <v>2</v>
      </c>
      <c r="E35" s="8" t="s">
        <v>49</v>
      </c>
      <c r="F35" t="s">
        <v>336</v>
      </c>
    </row>
    <row r="36" spans="1:6" x14ac:dyDescent="0.25">
      <c r="A36" t="s">
        <v>337</v>
      </c>
      <c r="B36" t="s">
        <v>338</v>
      </c>
      <c r="C36" t="s">
        <v>49</v>
      </c>
      <c r="D36" t="s">
        <v>2</v>
      </c>
      <c r="E36" s="8" t="s">
        <v>49</v>
      </c>
      <c r="F36" t="s">
        <v>339</v>
      </c>
    </row>
    <row r="37" spans="1:6" x14ac:dyDescent="0.25">
      <c r="A37" t="s">
        <v>340</v>
      </c>
      <c r="B37" t="s">
        <v>341</v>
      </c>
      <c r="C37" t="s">
        <v>342</v>
      </c>
      <c r="D37">
        <v>0</v>
      </c>
      <c r="E37" s="7" t="s">
        <v>243</v>
      </c>
      <c r="F37" t="s">
        <v>343</v>
      </c>
    </row>
    <row r="38" spans="1:6" x14ac:dyDescent="0.25">
      <c r="A38" t="s">
        <v>344</v>
      </c>
      <c r="B38" t="s">
        <v>328</v>
      </c>
      <c r="C38" t="s">
        <v>345</v>
      </c>
      <c r="D38">
        <v>0</v>
      </c>
      <c r="E38" s="7" t="s">
        <v>243</v>
      </c>
      <c r="F38" t="s">
        <v>346</v>
      </c>
    </row>
    <row r="39" spans="1:6" x14ac:dyDescent="0.25">
      <c r="A39" t="s">
        <v>347</v>
      </c>
      <c r="B39" t="s">
        <v>348</v>
      </c>
      <c r="C39" t="s">
        <v>49</v>
      </c>
      <c r="D39" t="s">
        <v>2</v>
      </c>
      <c r="E39" s="8" t="s">
        <v>49</v>
      </c>
      <c r="F39" t="s">
        <v>349</v>
      </c>
    </row>
    <row r="40" spans="1:6" x14ac:dyDescent="0.25">
      <c r="A40" t="s">
        <v>350</v>
      </c>
      <c r="B40" t="s">
        <v>351</v>
      </c>
      <c r="C40" t="s">
        <v>49</v>
      </c>
      <c r="D40" t="s">
        <v>2</v>
      </c>
      <c r="E40" s="8" t="s">
        <v>49</v>
      </c>
      <c r="F40" t="s">
        <v>352</v>
      </c>
    </row>
    <row r="41" spans="1:6" x14ac:dyDescent="0.25">
      <c r="A41" t="s">
        <v>353</v>
      </c>
      <c r="B41" t="s">
        <v>338</v>
      </c>
      <c r="C41" t="s">
        <v>49</v>
      </c>
      <c r="D41" t="s">
        <v>2</v>
      </c>
      <c r="E41" s="8" t="s">
        <v>49</v>
      </c>
      <c r="F41" t="s">
        <v>354</v>
      </c>
    </row>
    <row r="42" spans="1:6" x14ac:dyDescent="0.25">
      <c r="A42" t="s">
        <v>355</v>
      </c>
      <c r="B42" t="s">
        <v>356</v>
      </c>
      <c r="C42" t="s">
        <v>342</v>
      </c>
      <c r="D42">
        <v>0</v>
      </c>
      <c r="E42" s="7" t="s">
        <v>243</v>
      </c>
      <c r="F42" t="s">
        <v>357</v>
      </c>
    </row>
    <row r="43" spans="1:6" x14ac:dyDescent="0.25">
      <c r="A43" t="s">
        <v>358</v>
      </c>
      <c r="B43" t="s">
        <v>359</v>
      </c>
      <c r="C43" t="s">
        <v>342</v>
      </c>
      <c r="D43">
        <v>0</v>
      </c>
      <c r="E43" s="7" t="s">
        <v>243</v>
      </c>
      <c r="F43" t="s">
        <v>360</v>
      </c>
    </row>
    <row r="44" spans="1:6" x14ac:dyDescent="0.25">
      <c r="A44" t="s">
        <v>361</v>
      </c>
      <c r="B44" t="s">
        <v>359</v>
      </c>
      <c r="C44" t="s">
        <v>263</v>
      </c>
      <c r="D44">
        <v>0</v>
      </c>
      <c r="E44" s="7" t="s">
        <v>243</v>
      </c>
      <c r="F44" t="s">
        <v>362</v>
      </c>
    </row>
    <row r="45" spans="1:6" x14ac:dyDescent="0.25">
      <c r="A45" t="s">
        <v>363</v>
      </c>
      <c r="B45" t="s">
        <v>364</v>
      </c>
      <c r="C45" t="s">
        <v>263</v>
      </c>
      <c r="D45">
        <v>0</v>
      </c>
      <c r="E45" s="7" t="s">
        <v>243</v>
      </c>
      <c r="F45" t="s">
        <v>365</v>
      </c>
    </row>
    <row r="46" spans="1:6" x14ac:dyDescent="0.25">
      <c r="A46" t="s">
        <v>366</v>
      </c>
      <c r="B46">
        <v>15</v>
      </c>
      <c r="C46">
        <v>15</v>
      </c>
      <c r="D46">
        <v>0</v>
      </c>
      <c r="E46" s="7" t="s">
        <v>243</v>
      </c>
      <c r="F46" t="s">
        <v>367</v>
      </c>
    </row>
    <row r="47" spans="1:6" x14ac:dyDescent="0.25">
      <c r="A47" t="s">
        <v>368</v>
      </c>
      <c r="B47" t="s">
        <v>369</v>
      </c>
      <c r="C47" t="s">
        <v>370</v>
      </c>
      <c r="D47">
        <v>0</v>
      </c>
      <c r="E47" s="7" t="s">
        <v>243</v>
      </c>
      <c r="F47" t="s">
        <v>371</v>
      </c>
    </row>
    <row r="48" spans="1:6" x14ac:dyDescent="0.25">
      <c r="A48" t="s">
        <v>372</v>
      </c>
      <c r="B48" t="s">
        <v>328</v>
      </c>
      <c r="C48" t="s">
        <v>49</v>
      </c>
      <c r="D48" t="s">
        <v>2</v>
      </c>
      <c r="E48" s="8" t="s">
        <v>49</v>
      </c>
      <c r="F48" t="s">
        <v>373</v>
      </c>
    </row>
    <row r="49" spans="1:6" x14ac:dyDescent="0.25">
      <c r="A49" t="s">
        <v>374</v>
      </c>
      <c r="B49" t="s">
        <v>375</v>
      </c>
      <c r="C49" t="s">
        <v>376</v>
      </c>
      <c r="D49">
        <v>0</v>
      </c>
      <c r="E49" s="7" t="s">
        <v>243</v>
      </c>
      <c r="F49" t="s">
        <v>377</v>
      </c>
    </row>
    <row r="50" spans="1:6" x14ac:dyDescent="0.25">
      <c r="A50" t="s">
        <v>378</v>
      </c>
      <c r="B50" t="s">
        <v>379</v>
      </c>
      <c r="C50" t="s">
        <v>380</v>
      </c>
      <c r="D50">
        <v>0</v>
      </c>
      <c r="E50" s="7" t="s">
        <v>243</v>
      </c>
      <c r="F50" t="s">
        <v>381</v>
      </c>
    </row>
    <row r="51" spans="1:6" x14ac:dyDescent="0.25">
      <c r="A51" t="s">
        <v>382</v>
      </c>
      <c r="B51" t="s">
        <v>383</v>
      </c>
      <c r="C51" t="s">
        <v>243</v>
      </c>
      <c r="D51">
        <v>0</v>
      </c>
      <c r="E51" s="7" t="s">
        <v>243</v>
      </c>
      <c r="F51" t="s">
        <v>384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4" customWidth="1"/>
    <col min="2" max="2" width="42" customWidth="1"/>
    <col min="3" max="3" width="12" customWidth="1"/>
    <col min="4" max="4" width="30" customWidth="1"/>
    <col min="5" max="5" width="42" customWidth="1"/>
  </cols>
  <sheetData>
    <row r="1" spans="1:5" s="1" customFormat="1" x14ac:dyDescent="0.25">
      <c r="A1" s="2" t="s">
        <v>227</v>
      </c>
      <c r="B1" s="2" t="s">
        <v>385</v>
      </c>
      <c r="C1" s="2" t="s">
        <v>386</v>
      </c>
      <c r="D1" s="2" t="s">
        <v>65</v>
      </c>
      <c r="E1" s="2" t="s">
        <v>27</v>
      </c>
    </row>
    <row r="2" spans="1:5" x14ac:dyDescent="0.25">
      <c r="A2" s="3" t="s">
        <v>59</v>
      </c>
      <c r="B2" s="3" t="s">
        <v>387</v>
      </c>
      <c r="C2" s="4">
        <f>'02_Assumptions'!$F$22</f>
        <v>1500</v>
      </c>
      <c r="D2" s="3" t="s">
        <v>388</v>
      </c>
      <c r="E2" s="3" t="s">
        <v>389</v>
      </c>
    </row>
    <row r="3" spans="1:5" x14ac:dyDescent="0.25">
      <c r="A3" s="3" t="s">
        <v>59</v>
      </c>
      <c r="B3" s="3" t="s">
        <v>390</v>
      </c>
      <c r="C3" s="4">
        <v>0.4</v>
      </c>
      <c r="D3" s="3" t="s">
        <v>391</v>
      </c>
      <c r="E3" s="3" t="s">
        <v>392</v>
      </c>
    </row>
    <row r="4" spans="1:5" x14ac:dyDescent="0.25">
      <c r="A4" s="3" t="s">
        <v>59</v>
      </c>
      <c r="B4" s="3" t="s">
        <v>393</v>
      </c>
      <c r="C4" s="4">
        <v>0.6</v>
      </c>
      <c r="D4" s="3" t="s">
        <v>391</v>
      </c>
      <c r="E4" s="3" t="s">
        <v>392</v>
      </c>
    </row>
    <row r="5" spans="1:5" x14ac:dyDescent="0.25">
      <c r="A5" s="3" t="s">
        <v>59</v>
      </c>
      <c r="B5" s="3" t="s">
        <v>394</v>
      </c>
      <c r="C5" s="4">
        <f>'02_Assumptions'!$F$23</f>
        <v>300</v>
      </c>
      <c r="D5" s="3" t="s">
        <v>395</v>
      </c>
      <c r="E5" s="3" t="s">
        <v>396</v>
      </c>
    </row>
    <row r="6" spans="1:5" x14ac:dyDescent="0.25">
      <c r="A6" s="3" t="s">
        <v>59</v>
      </c>
      <c r="B6" s="3" t="s">
        <v>397</v>
      </c>
      <c r="C6" s="4">
        <v>0.6</v>
      </c>
      <c r="D6" s="3" t="s">
        <v>398</v>
      </c>
      <c r="E6" s="3" t="s">
        <v>392</v>
      </c>
    </row>
    <row r="7" spans="1:5" x14ac:dyDescent="0.25">
      <c r="A7" s="3" t="s">
        <v>59</v>
      </c>
      <c r="B7" s="3" t="s">
        <v>399</v>
      </c>
      <c r="C7" s="4">
        <v>0.4</v>
      </c>
      <c r="D7" s="3" t="s">
        <v>398</v>
      </c>
      <c r="E7" s="3" t="s">
        <v>392</v>
      </c>
    </row>
    <row r="8" spans="1:5" x14ac:dyDescent="0.25">
      <c r="A8" s="3" t="s">
        <v>59</v>
      </c>
      <c r="B8" s="3" t="s">
        <v>400</v>
      </c>
      <c r="C8" s="4">
        <f>'02_Assumptions'!$F$26</f>
        <v>1</v>
      </c>
      <c r="D8" s="3" t="s">
        <v>401</v>
      </c>
      <c r="E8" s="3" t="s">
        <v>402</v>
      </c>
    </row>
    <row r="9" spans="1:5" x14ac:dyDescent="0.25">
      <c r="A9" s="3" t="s">
        <v>59</v>
      </c>
      <c r="B9" s="3" t="s">
        <v>403</v>
      </c>
      <c r="C9" s="4">
        <f>'02_Assumptions'!$F$27</f>
        <v>0.4</v>
      </c>
      <c r="D9" s="3" t="s">
        <v>404</v>
      </c>
      <c r="E9" s="3" t="s">
        <v>405</v>
      </c>
    </row>
    <row r="10" spans="1:5" x14ac:dyDescent="0.25">
      <c r="A10" s="3" t="s">
        <v>59</v>
      </c>
      <c r="B10" s="3" t="s">
        <v>406</v>
      </c>
      <c r="C10" s="4">
        <f>'06_Pricing'!$C$8-'06_Pricing'!$C$9</f>
        <v>0.6</v>
      </c>
      <c r="D10" s="3" t="s">
        <v>407</v>
      </c>
      <c r="E10" s="3" t="s">
        <v>408</v>
      </c>
    </row>
    <row r="11" spans="1:5" x14ac:dyDescent="0.25">
      <c r="A11" s="3" t="s">
        <v>59</v>
      </c>
      <c r="B11" s="3" t="s">
        <v>409</v>
      </c>
      <c r="C11" s="4">
        <f>'02_Assumptions'!$F$24</f>
        <v>50000</v>
      </c>
      <c r="D11" s="3" t="s">
        <v>410</v>
      </c>
      <c r="E11" s="3" t="s">
        <v>411</v>
      </c>
    </row>
    <row r="12" spans="1:5" x14ac:dyDescent="0.25">
      <c r="A12" s="3" t="s">
        <v>59</v>
      </c>
      <c r="B12" s="3" t="s">
        <v>412</v>
      </c>
      <c r="C12" s="4">
        <f>'02_Assumptions'!$F$25</f>
        <v>60000</v>
      </c>
      <c r="D12" s="3" t="s">
        <v>413</v>
      </c>
      <c r="E12" s="3" t="s">
        <v>414</v>
      </c>
    </row>
    <row r="13" spans="1:5" x14ac:dyDescent="0.25">
      <c r="A13" s="3" t="s">
        <v>59</v>
      </c>
      <c r="B13" s="3" t="s">
        <v>415</v>
      </c>
      <c r="C13" s="4">
        <f>'02_Assumptions'!$F$36</f>
        <v>0.05</v>
      </c>
      <c r="D13" s="3" t="s">
        <v>416</v>
      </c>
      <c r="E13" s="3" t="s">
        <v>417</v>
      </c>
    </row>
    <row r="14" spans="1:5" x14ac:dyDescent="0.25">
      <c r="A14" s="3" t="s">
        <v>59</v>
      </c>
      <c r="B14" s="3" t="s">
        <v>418</v>
      </c>
      <c r="C14" s="4">
        <f>'02_Assumptions'!$F$38</f>
        <v>1</v>
      </c>
      <c r="D14" s="3" t="s">
        <v>419</v>
      </c>
      <c r="E14" s="3" t="s">
        <v>420</v>
      </c>
    </row>
    <row r="15" spans="1:5" x14ac:dyDescent="0.25">
      <c r="A15" s="3" t="s">
        <v>59</v>
      </c>
      <c r="B15" s="3" t="s">
        <v>421</v>
      </c>
      <c r="C15" s="4">
        <f>'02_Assumptions'!$F$39</f>
        <v>0.7</v>
      </c>
      <c r="D15" s="3" t="s">
        <v>422</v>
      </c>
      <c r="E15" s="3" t="s">
        <v>423</v>
      </c>
    </row>
    <row r="16" spans="1:5" x14ac:dyDescent="0.25">
      <c r="A16" s="3" t="s">
        <v>29</v>
      </c>
      <c r="B16" s="3" t="s">
        <v>387</v>
      </c>
      <c r="C16" s="4">
        <f>'02_Assumptions'!$G$22</f>
        <v>3000</v>
      </c>
      <c r="D16" s="3" t="s">
        <v>388</v>
      </c>
      <c r="E16" s="3" t="s">
        <v>389</v>
      </c>
    </row>
    <row r="17" spans="1:5" x14ac:dyDescent="0.25">
      <c r="A17" s="3" t="s">
        <v>29</v>
      </c>
      <c r="B17" s="3" t="s">
        <v>390</v>
      </c>
      <c r="C17" s="4">
        <v>0.4</v>
      </c>
      <c r="D17" s="3" t="s">
        <v>391</v>
      </c>
      <c r="E17" s="3" t="s">
        <v>392</v>
      </c>
    </row>
    <row r="18" spans="1:5" x14ac:dyDescent="0.25">
      <c r="A18" s="3" t="s">
        <v>29</v>
      </c>
      <c r="B18" s="3" t="s">
        <v>393</v>
      </c>
      <c r="C18" s="4">
        <v>0.6</v>
      </c>
      <c r="D18" s="3" t="s">
        <v>391</v>
      </c>
      <c r="E18" s="3" t="s">
        <v>392</v>
      </c>
    </row>
    <row r="19" spans="1:5" x14ac:dyDescent="0.25">
      <c r="A19" s="3" t="s">
        <v>29</v>
      </c>
      <c r="B19" s="3" t="s">
        <v>394</v>
      </c>
      <c r="C19" s="4">
        <f>'02_Assumptions'!$G$23</f>
        <v>750</v>
      </c>
      <c r="D19" s="3" t="s">
        <v>395</v>
      </c>
      <c r="E19" s="3" t="s">
        <v>396</v>
      </c>
    </row>
    <row r="20" spans="1:5" x14ac:dyDescent="0.25">
      <c r="A20" s="3" t="s">
        <v>29</v>
      </c>
      <c r="B20" s="3" t="s">
        <v>397</v>
      </c>
      <c r="C20" s="4">
        <v>0.6</v>
      </c>
      <c r="D20" s="3" t="s">
        <v>398</v>
      </c>
      <c r="E20" s="3" t="s">
        <v>392</v>
      </c>
    </row>
    <row r="21" spans="1:5" x14ac:dyDescent="0.25">
      <c r="A21" s="3" t="s">
        <v>29</v>
      </c>
      <c r="B21" s="3" t="s">
        <v>399</v>
      </c>
      <c r="C21" s="4">
        <v>0.4</v>
      </c>
      <c r="D21" s="3" t="s">
        <v>398</v>
      </c>
      <c r="E21" s="3" t="s">
        <v>392</v>
      </c>
    </row>
    <row r="22" spans="1:5" x14ac:dyDescent="0.25">
      <c r="A22" s="3" t="s">
        <v>29</v>
      </c>
      <c r="B22" s="3" t="s">
        <v>400</v>
      </c>
      <c r="C22" s="4">
        <f>'02_Assumptions'!$G$26</f>
        <v>1.5</v>
      </c>
      <c r="D22" s="3" t="s">
        <v>401</v>
      </c>
      <c r="E22" s="3" t="s">
        <v>402</v>
      </c>
    </row>
    <row r="23" spans="1:5" x14ac:dyDescent="0.25">
      <c r="A23" s="3" t="s">
        <v>29</v>
      </c>
      <c r="B23" s="3" t="s">
        <v>403</v>
      </c>
      <c r="C23" s="4">
        <f>'02_Assumptions'!$G$27</f>
        <v>0.5</v>
      </c>
      <c r="D23" s="3" t="s">
        <v>404</v>
      </c>
      <c r="E23" s="3" t="s">
        <v>405</v>
      </c>
    </row>
    <row r="24" spans="1:5" x14ac:dyDescent="0.25">
      <c r="A24" s="3" t="s">
        <v>29</v>
      </c>
      <c r="B24" s="3" t="s">
        <v>406</v>
      </c>
      <c r="C24" s="4">
        <f>'06_Pricing'!$C$22-'06_Pricing'!$C$23</f>
        <v>1</v>
      </c>
      <c r="D24" s="3" t="s">
        <v>407</v>
      </c>
      <c r="E24" s="3" t="s">
        <v>408</v>
      </c>
    </row>
    <row r="25" spans="1:5" x14ac:dyDescent="0.25">
      <c r="A25" s="3" t="s">
        <v>29</v>
      </c>
      <c r="B25" s="3" t="s">
        <v>409</v>
      </c>
      <c r="C25" s="4">
        <f>'02_Assumptions'!$G$24</f>
        <v>50000</v>
      </c>
      <c r="D25" s="3" t="s">
        <v>410</v>
      </c>
      <c r="E25" s="3" t="s">
        <v>411</v>
      </c>
    </row>
    <row r="26" spans="1:5" x14ac:dyDescent="0.25">
      <c r="A26" s="3" t="s">
        <v>29</v>
      </c>
      <c r="B26" s="3" t="s">
        <v>412</v>
      </c>
      <c r="C26" s="4">
        <f>'02_Assumptions'!$G$25</f>
        <v>60000</v>
      </c>
      <c r="D26" s="3" t="s">
        <v>413</v>
      </c>
      <c r="E26" s="3" t="s">
        <v>414</v>
      </c>
    </row>
    <row r="27" spans="1:5" x14ac:dyDescent="0.25">
      <c r="A27" s="3" t="s">
        <v>29</v>
      </c>
      <c r="B27" s="3" t="s">
        <v>415</v>
      </c>
      <c r="C27" s="4">
        <f>'02_Assumptions'!$G$36</f>
        <v>0.02</v>
      </c>
      <c r="D27" s="3" t="s">
        <v>416</v>
      </c>
      <c r="E27" s="3" t="s">
        <v>417</v>
      </c>
    </row>
    <row r="28" spans="1:5" x14ac:dyDescent="0.25">
      <c r="A28" s="3" t="s">
        <v>29</v>
      </c>
      <c r="B28" s="3" t="s">
        <v>418</v>
      </c>
      <c r="C28" s="4">
        <f>'02_Assumptions'!$G$38</f>
        <v>1</v>
      </c>
      <c r="D28" s="3" t="s">
        <v>419</v>
      </c>
      <c r="E28" s="3" t="s">
        <v>420</v>
      </c>
    </row>
    <row r="29" spans="1:5" x14ac:dyDescent="0.25">
      <c r="A29" s="3" t="s">
        <v>29</v>
      </c>
      <c r="B29" s="3" t="s">
        <v>421</v>
      </c>
      <c r="C29" s="4">
        <f>'02_Assumptions'!$G$39</f>
        <v>0.5</v>
      </c>
      <c r="D29" s="3" t="s">
        <v>422</v>
      </c>
      <c r="E29" s="3" t="s">
        <v>423</v>
      </c>
    </row>
    <row r="30" spans="1:5" x14ac:dyDescent="0.25">
      <c r="A30" s="3" t="s">
        <v>60</v>
      </c>
      <c r="B30" s="3" t="s">
        <v>387</v>
      </c>
      <c r="C30" s="4">
        <f>'02_Assumptions'!$H$22</f>
        <v>5000</v>
      </c>
      <c r="D30" s="3" t="s">
        <v>388</v>
      </c>
      <c r="E30" s="3" t="s">
        <v>389</v>
      </c>
    </row>
    <row r="31" spans="1:5" x14ac:dyDescent="0.25">
      <c r="A31" s="3" t="s">
        <v>60</v>
      </c>
      <c r="B31" s="3" t="s">
        <v>390</v>
      </c>
      <c r="C31" s="4">
        <v>0.4</v>
      </c>
      <c r="D31" s="3" t="s">
        <v>391</v>
      </c>
      <c r="E31" s="3" t="s">
        <v>392</v>
      </c>
    </row>
    <row r="32" spans="1:5" x14ac:dyDescent="0.25">
      <c r="A32" s="3" t="s">
        <v>60</v>
      </c>
      <c r="B32" s="3" t="s">
        <v>393</v>
      </c>
      <c r="C32" s="4">
        <v>0.6</v>
      </c>
      <c r="D32" s="3" t="s">
        <v>391</v>
      </c>
      <c r="E32" s="3" t="s">
        <v>392</v>
      </c>
    </row>
    <row r="33" spans="1:5" x14ac:dyDescent="0.25">
      <c r="A33" s="3" t="s">
        <v>60</v>
      </c>
      <c r="B33" s="3" t="s">
        <v>394</v>
      </c>
      <c r="C33" s="4">
        <f>'02_Assumptions'!$H$23</f>
        <v>1250</v>
      </c>
      <c r="D33" s="3" t="s">
        <v>395</v>
      </c>
      <c r="E33" s="3" t="s">
        <v>396</v>
      </c>
    </row>
    <row r="34" spans="1:5" x14ac:dyDescent="0.25">
      <c r="A34" s="3" t="s">
        <v>60</v>
      </c>
      <c r="B34" s="3" t="s">
        <v>397</v>
      </c>
      <c r="C34" s="4">
        <v>0.6</v>
      </c>
      <c r="D34" s="3" t="s">
        <v>398</v>
      </c>
      <c r="E34" s="3" t="s">
        <v>392</v>
      </c>
    </row>
    <row r="35" spans="1:5" x14ac:dyDescent="0.25">
      <c r="A35" s="3" t="s">
        <v>60</v>
      </c>
      <c r="B35" s="3" t="s">
        <v>399</v>
      </c>
      <c r="C35" s="4">
        <v>0.4</v>
      </c>
      <c r="D35" s="3" t="s">
        <v>398</v>
      </c>
      <c r="E35" s="3" t="s">
        <v>392</v>
      </c>
    </row>
    <row r="36" spans="1:5" x14ac:dyDescent="0.25">
      <c r="A36" s="3" t="s">
        <v>60</v>
      </c>
      <c r="B36" s="3" t="s">
        <v>400</v>
      </c>
      <c r="C36" s="4">
        <f>'02_Assumptions'!$H$26</f>
        <v>2</v>
      </c>
      <c r="D36" s="3" t="s">
        <v>401</v>
      </c>
      <c r="E36" s="3" t="s">
        <v>402</v>
      </c>
    </row>
    <row r="37" spans="1:5" x14ac:dyDescent="0.25">
      <c r="A37" s="3" t="s">
        <v>60</v>
      </c>
      <c r="B37" s="3" t="s">
        <v>403</v>
      </c>
      <c r="C37" s="4">
        <f>'02_Assumptions'!$H$27</f>
        <v>0.6</v>
      </c>
      <c r="D37" s="3" t="s">
        <v>404</v>
      </c>
      <c r="E37" s="3" t="s">
        <v>405</v>
      </c>
    </row>
    <row r="38" spans="1:5" x14ac:dyDescent="0.25">
      <c r="A38" s="3" t="s">
        <v>60</v>
      </c>
      <c r="B38" s="3" t="s">
        <v>406</v>
      </c>
      <c r="C38" s="4">
        <f>'06_Pricing'!$C$36-'06_Pricing'!$C$37</f>
        <v>1.4</v>
      </c>
      <c r="D38" s="3" t="s">
        <v>407</v>
      </c>
      <c r="E38" s="3" t="s">
        <v>408</v>
      </c>
    </row>
    <row r="39" spans="1:5" x14ac:dyDescent="0.25">
      <c r="A39" s="3" t="s">
        <v>60</v>
      </c>
      <c r="B39" s="3" t="s">
        <v>409</v>
      </c>
      <c r="C39" s="4">
        <f>'02_Assumptions'!$H$24</f>
        <v>50000</v>
      </c>
      <c r="D39" s="3" t="s">
        <v>410</v>
      </c>
      <c r="E39" s="3" t="s">
        <v>411</v>
      </c>
    </row>
    <row r="40" spans="1:5" x14ac:dyDescent="0.25">
      <c r="A40" s="3" t="s">
        <v>60</v>
      </c>
      <c r="B40" s="3" t="s">
        <v>412</v>
      </c>
      <c r="C40" s="4">
        <f>'02_Assumptions'!$H$25</f>
        <v>60000</v>
      </c>
      <c r="D40" s="3" t="s">
        <v>413</v>
      </c>
      <c r="E40" s="3" t="s">
        <v>414</v>
      </c>
    </row>
    <row r="41" spans="1:5" x14ac:dyDescent="0.25">
      <c r="A41" s="3" t="s">
        <v>60</v>
      </c>
      <c r="B41" s="3" t="s">
        <v>415</v>
      </c>
      <c r="C41" s="4">
        <f>'02_Assumptions'!$H$36</f>
        <v>0.01</v>
      </c>
      <c r="D41" s="3" t="s">
        <v>416</v>
      </c>
      <c r="E41" s="3" t="s">
        <v>417</v>
      </c>
    </row>
    <row r="42" spans="1:5" x14ac:dyDescent="0.25">
      <c r="A42" s="3" t="s">
        <v>60</v>
      </c>
      <c r="B42" s="3" t="s">
        <v>418</v>
      </c>
      <c r="C42" s="4">
        <f>'02_Assumptions'!$H$38</f>
        <v>1</v>
      </c>
      <c r="D42" s="3" t="s">
        <v>419</v>
      </c>
      <c r="E42" s="3" t="s">
        <v>420</v>
      </c>
    </row>
    <row r="43" spans="1:5" x14ac:dyDescent="0.25">
      <c r="A43" s="3" t="s">
        <v>60</v>
      </c>
      <c r="B43" s="3" t="s">
        <v>421</v>
      </c>
      <c r="C43" s="4">
        <f>'02_Assumptions'!$H$39</f>
        <v>0.4</v>
      </c>
      <c r="D43" s="3" t="s">
        <v>422</v>
      </c>
      <c r="E43" s="3" t="s">
        <v>423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4" customWidth="1"/>
    <col min="2" max="2" width="42" customWidth="1"/>
    <col min="3" max="7" width="12" customWidth="1"/>
  </cols>
  <sheetData>
    <row r="1" spans="1:7" s="1" customFormat="1" x14ac:dyDescent="0.25">
      <c r="A1" s="2" t="s">
        <v>227</v>
      </c>
      <c r="B1" s="2" t="s">
        <v>228</v>
      </c>
      <c r="C1" s="2" t="s">
        <v>33</v>
      </c>
      <c r="D1" s="2" t="s">
        <v>73</v>
      </c>
      <c r="E1" s="2" t="s">
        <v>74</v>
      </c>
      <c r="F1" s="2" t="s">
        <v>75</v>
      </c>
      <c r="G1" s="2" t="s">
        <v>76</v>
      </c>
    </row>
    <row r="2" spans="1:7" x14ac:dyDescent="0.25">
      <c r="A2" s="3" t="s">
        <v>59</v>
      </c>
      <c r="B2" s="3" t="s">
        <v>424</v>
      </c>
      <c r="C2" s="4">
        <f>'04_Adoption'!$C$7*'06_Pricing'!$C$2</f>
        <v>6000</v>
      </c>
      <c r="D2" s="4">
        <f>'04_Adoption'!$D$7*'06_Pricing'!$C$2</f>
        <v>9000</v>
      </c>
      <c r="E2" s="4">
        <f>'04_Adoption'!$E$7*'06_Pricing'!$C$2</f>
        <v>12000</v>
      </c>
      <c r="F2" s="4">
        <f>'04_Adoption'!$F$7*'06_Pricing'!$C$2</f>
        <v>12000</v>
      </c>
      <c r="G2" s="4">
        <f>'04_Adoption'!$G$7*'06_Pricing'!$C$2</f>
        <v>15000</v>
      </c>
    </row>
    <row r="3" spans="1:7" x14ac:dyDescent="0.25">
      <c r="A3" s="3" t="s">
        <v>59</v>
      </c>
      <c r="B3" s="3" t="s">
        <v>425</v>
      </c>
      <c r="C3" s="4">
        <f>'04_Adoption'!$C$6*'04_Adoption'!$C$5*'06_Pricing'!$C$5</f>
        <v>2400</v>
      </c>
      <c r="D3" s="4">
        <f>'04_Adoption'!$D$6*'04_Adoption'!$D$5*'06_Pricing'!$C$5</f>
        <v>10800</v>
      </c>
      <c r="E3" s="4">
        <f>'04_Adoption'!$E$6*'04_Adoption'!$E$5*'06_Pricing'!$C$5</f>
        <v>25200</v>
      </c>
      <c r="F3" s="4">
        <f>'04_Adoption'!$F$6*'04_Adoption'!$F$5*'06_Pricing'!$C$5</f>
        <v>43200</v>
      </c>
      <c r="G3" s="4">
        <f>'04_Adoption'!$G$6*'04_Adoption'!$G$5*'06_Pricing'!$C$5</f>
        <v>57600</v>
      </c>
    </row>
    <row r="4" spans="1:7" x14ac:dyDescent="0.25">
      <c r="A4" s="3" t="s">
        <v>59</v>
      </c>
      <c r="B4" s="3" t="s">
        <v>426</v>
      </c>
      <c r="C4" s="4">
        <f>'05_Payroll_Activity'!$C$3*'06_Pricing'!$C$8</f>
        <v>147.2</v>
      </c>
      <c r="D4" s="4">
        <f>'05_Payroll_Activity'!$D$3*'06_Pricing'!$C$8</f>
        <v>662.4</v>
      </c>
      <c r="E4" s="4">
        <f>'05_Payroll_Activity'!$E$3*'06_Pricing'!$C$8</f>
        <v>1545.6</v>
      </c>
      <c r="F4" s="4">
        <f>'05_Payroll_Activity'!$F$3*'06_Pricing'!$C$8</f>
        <v>2649.6</v>
      </c>
      <c r="G4" s="4">
        <f>'05_Payroll_Activity'!$G$3*'06_Pricing'!$C$8</f>
        <v>3532.8</v>
      </c>
    </row>
    <row r="5" spans="1:7" x14ac:dyDescent="0.25">
      <c r="A5" s="3" t="s">
        <v>59</v>
      </c>
      <c r="B5" s="3" t="s">
        <v>427</v>
      </c>
      <c r="C5" s="4">
        <f>('04_Adoption'!$C$7*'06_Pricing'!$C$2)+('04_Adoption'!$C$6*'04_Adoption'!$C$5*'06_Pricing'!$C$5)+('05_Payroll_Activity'!$C$3*'06_Pricing'!$C$8)</f>
        <v>8547.2</v>
      </c>
      <c r="D5" s="4">
        <f>('04_Adoption'!$D$7*'06_Pricing'!$C$2)+('04_Adoption'!$D$6*'04_Adoption'!$D$5*'06_Pricing'!$C$5)+('05_Payroll_Activity'!$D$3*'06_Pricing'!$C$8)</f>
        <v>20462.4</v>
      </c>
      <c r="E5" s="4">
        <f>('04_Adoption'!$E$7*'06_Pricing'!$C$2)+('04_Adoption'!$E$6*'04_Adoption'!$E$5*'06_Pricing'!$C$5)+('05_Payroll_Activity'!$E$3*'06_Pricing'!$C$8)</f>
        <v>38745.6</v>
      </c>
      <c r="F5" s="4">
        <f>('04_Adoption'!$F$7*'06_Pricing'!$C$2)+('04_Adoption'!$F$6*'04_Adoption'!$F$5*'06_Pricing'!$C$5)+('05_Payroll_Activity'!$F$3*'06_Pricing'!$C$8)</f>
        <v>57849.6</v>
      </c>
      <c r="G5" s="4">
        <f>('04_Adoption'!$G$7*'06_Pricing'!$C$2)+('04_Adoption'!$G$6*'04_Adoption'!$G$5*'06_Pricing'!$C$5)+('05_Payroll_Activity'!$G$3*'06_Pricing'!$C$8)</f>
        <v>76132.8</v>
      </c>
    </row>
    <row r="6" spans="1:7" x14ac:dyDescent="0.25">
      <c r="A6" s="3" t="s">
        <v>59</v>
      </c>
      <c r="B6" s="3" t="s">
        <v>428</v>
      </c>
      <c r="C6" s="4">
        <f>'10_Rural_Bank_View'!$C$2</f>
        <v>3703.94</v>
      </c>
      <c r="D6" s="4">
        <f>'10_Rural_Bank_View'!$D$2</f>
        <v>9827.71</v>
      </c>
      <c r="E6" s="4">
        <f>'10_Rural_Bank_View'!$E$2</f>
        <v>19511.33</v>
      </c>
      <c r="F6" s="4">
        <f>'10_Rural_Bank_View'!$F$2</f>
        <v>30190.85</v>
      </c>
      <c r="G6" s="4">
        <f>'10_Rural_Bank_View'!$G$2</f>
        <v>39874.46</v>
      </c>
    </row>
    <row r="7" spans="1:7" x14ac:dyDescent="0.25">
      <c r="A7" s="3" t="s">
        <v>59</v>
      </c>
      <c r="B7" s="3" t="s">
        <v>429</v>
      </c>
      <c r="C7" s="4">
        <f>'11_ODTI_View'!$C$2</f>
        <v>124415.9</v>
      </c>
      <c r="D7" s="4">
        <f>'11_ODTI_View'!$D$2</f>
        <v>249611.57</v>
      </c>
      <c r="E7" s="4">
        <f>'11_ODTI_View'!$E$2</f>
        <v>427296.99</v>
      </c>
      <c r="F7" s="4">
        <f>'11_ODTI_View'!$F$2</f>
        <v>584766.27</v>
      </c>
      <c r="G7" s="4">
        <f>'11_ODTI_View'!$G$2</f>
        <v>762451.7</v>
      </c>
    </row>
    <row r="8" spans="1:7" x14ac:dyDescent="0.25">
      <c r="A8" s="3" t="s">
        <v>59</v>
      </c>
      <c r="B8" s="3" t="s">
        <v>430</v>
      </c>
      <c r="C8" s="4">
        <f>'12_DevOps_View'!$C$2</f>
        <v>140000</v>
      </c>
      <c r="D8" s="4">
        <f>'12_DevOps_View'!$D$2</f>
        <v>330000</v>
      </c>
      <c r="E8" s="4">
        <f>'12_DevOps_View'!$E$2</f>
        <v>620000</v>
      </c>
      <c r="F8" s="4">
        <f>'12_DevOps_View'!$F$2</f>
        <v>920000</v>
      </c>
      <c r="G8" s="4">
        <f>'12_DevOps_View'!$G$2</f>
        <v>1210000</v>
      </c>
    </row>
    <row r="9" spans="1:7" x14ac:dyDescent="0.25">
      <c r="A9" s="3" t="s">
        <v>29</v>
      </c>
      <c r="B9" s="3" t="s">
        <v>424</v>
      </c>
      <c r="C9" s="4">
        <f>'04_Adoption'!$C$13*'06_Pricing'!$C$16</f>
        <v>60000</v>
      </c>
      <c r="D9" s="4">
        <f>'04_Adoption'!$D$13*'06_Pricing'!$C$16</f>
        <v>84000</v>
      </c>
      <c r="E9" s="4">
        <f>'04_Adoption'!$E$13*'06_Pricing'!$C$16</f>
        <v>96000</v>
      </c>
      <c r="F9" s="4">
        <f>'04_Adoption'!$F$13*'06_Pricing'!$C$16</f>
        <v>120000</v>
      </c>
      <c r="G9" s="4">
        <f>'04_Adoption'!$G$13*'06_Pricing'!$C$16</f>
        <v>120000</v>
      </c>
    </row>
    <row r="10" spans="1:7" x14ac:dyDescent="0.25">
      <c r="A10" s="3" t="s">
        <v>29</v>
      </c>
      <c r="B10" s="3" t="s">
        <v>425</v>
      </c>
      <c r="C10" s="4">
        <f>'04_Adoption'!$C$12*'04_Adoption'!$C$11*'06_Pricing'!$C$19</f>
        <v>45000</v>
      </c>
      <c r="D10" s="4">
        <f>'04_Adoption'!$D$12*'04_Adoption'!$D$11*'06_Pricing'!$C$19</f>
        <v>168000</v>
      </c>
      <c r="E10" s="4">
        <f>'04_Adoption'!$E$12*'04_Adoption'!$E$11*'06_Pricing'!$C$19</f>
        <v>336000</v>
      </c>
      <c r="F10" s="4">
        <f>'04_Adoption'!$F$12*'04_Adoption'!$F$11*'06_Pricing'!$C$19</f>
        <v>594000</v>
      </c>
      <c r="G10" s="4">
        <f>'04_Adoption'!$G$12*'04_Adoption'!$G$11*'06_Pricing'!$C$19</f>
        <v>960000</v>
      </c>
    </row>
    <row r="11" spans="1:7" x14ac:dyDescent="0.25">
      <c r="A11" s="3" t="s">
        <v>29</v>
      </c>
      <c r="B11" s="3" t="s">
        <v>426</v>
      </c>
      <c r="C11" s="4">
        <f>'05_Payroll_Activity'!$C$6*'06_Pricing'!$C$22</f>
        <v>6048</v>
      </c>
      <c r="D11" s="4">
        <f>'05_Payroll_Activity'!$D$6*'06_Pricing'!$C$22</f>
        <v>22579.2</v>
      </c>
      <c r="E11" s="4">
        <f>'05_Payroll_Activity'!$E$6*'06_Pricing'!$C$22</f>
        <v>45158.4</v>
      </c>
      <c r="F11" s="4">
        <f>'05_Payroll_Activity'!$F$6*'06_Pricing'!$C$22</f>
        <v>79833.6</v>
      </c>
      <c r="G11" s="4">
        <f>'05_Payroll_Activity'!$G$6*'06_Pricing'!$C$22</f>
        <v>129024</v>
      </c>
    </row>
    <row r="12" spans="1:7" x14ac:dyDescent="0.25">
      <c r="A12" s="3" t="s">
        <v>29</v>
      </c>
      <c r="B12" s="3" t="s">
        <v>427</v>
      </c>
      <c r="C12" s="4">
        <f>('04_Adoption'!$C$13*'06_Pricing'!$C$16)+('04_Adoption'!$C$12*'04_Adoption'!$C$11*'06_Pricing'!$C$19)+('05_Payroll_Activity'!$C$6*'06_Pricing'!$C$22)</f>
        <v>111048</v>
      </c>
      <c r="D12" s="4">
        <f>('04_Adoption'!$D$13*'06_Pricing'!$C$16)+('04_Adoption'!$D$12*'04_Adoption'!$D$11*'06_Pricing'!$C$19)+('05_Payroll_Activity'!$D$6*'06_Pricing'!$C$22)</f>
        <v>274579.2</v>
      </c>
      <c r="E12" s="4">
        <f>('04_Adoption'!$E$13*'06_Pricing'!$C$16)+('04_Adoption'!$E$12*'04_Adoption'!$E$11*'06_Pricing'!$C$19)+('05_Payroll_Activity'!$E$6*'06_Pricing'!$C$22)</f>
        <v>477158.4</v>
      </c>
      <c r="F12" s="4">
        <f>('04_Adoption'!$F$13*'06_Pricing'!$C$16)+('04_Adoption'!$F$12*'04_Adoption'!$F$11*'06_Pricing'!$C$19)+('05_Payroll_Activity'!$F$6*'06_Pricing'!$C$22)</f>
        <v>793833.6</v>
      </c>
      <c r="G12" s="4">
        <f>('04_Adoption'!$G$13*'06_Pricing'!$C$16)+('04_Adoption'!$G$12*'04_Adoption'!$G$11*'06_Pricing'!$C$19)+('05_Payroll_Activity'!$G$6*'06_Pricing'!$C$22)</f>
        <v>1209024</v>
      </c>
    </row>
    <row r="13" spans="1:7" x14ac:dyDescent="0.25">
      <c r="A13" s="3" t="s">
        <v>29</v>
      </c>
      <c r="B13" s="3" t="s">
        <v>428</v>
      </c>
      <c r="C13" s="4">
        <f>'10_Rural_Bank_View'!$C$5</f>
        <v>51955.68</v>
      </c>
      <c r="D13" s="4">
        <f>'10_Rural_Bank_View'!$D$5</f>
        <v>139087.87</v>
      </c>
      <c r="E13" s="4">
        <f>'10_Rural_Bank_View'!$E$5</f>
        <v>249951.74</v>
      </c>
      <c r="F13" s="4">
        <f>'10_Rural_Bank_View'!$F$5</f>
        <v>422390.98</v>
      </c>
      <c r="G13" s="4">
        <f>'10_Rural_Bank_View'!$G$5</f>
        <v>653667.84</v>
      </c>
    </row>
    <row r="14" spans="1:7" x14ac:dyDescent="0.25">
      <c r="A14" s="3" t="s">
        <v>29</v>
      </c>
      <c r="B14" s="3" t="s">
        <v>429</v>
      </c>
      <c r="C14" s="4">
        <f>'11_ODTI_View'!$C$5</f>
        <v>381871.36</v>
      </c>
      <c r="D14" s="4">
        <f>'11_ODTI_View'!$D$5</f>
        <v>759999.74</v>
      </c>
      <c r="E14" s="4">
        <f>'11_ODTI_View'!$E$5</f>
        <v>1177663.49</v>
      </c>
      <c r="F14" s="4">
        <f>'11_ODTI_View'!$F$5</f>
        <v>1845565.95</v>
      </c>
      <c r="G14" s="4">
        <f>'11_ODTI_View'!$G$5</f>
        <v>2631175.68</v>
      </c>
    </row>
    <row r="15" spans="1:7" x14ac:dyDescent="0.25">
      <c r="A15" s="3" t="s">
        <v>29</v>
      </c>
      <c r="B15" s="3" t="s">
        <v>430</v>
      </c>
      <c r="C15" s="4">
        <f>'12_DevOps_View'!$C$4</f>
        <v>400000</v>
      </c>
      <c r="D15" s="4">
        <f>'12_DevOps_View'!$D$4</f>
        <v>910000</v>
      </c>
      <c r="E15" s="4">
        <f>'12_DevOps_View'!$E$4</f>
        <v>1520000</v>
      </c>
      <c r="F15" s="4">
        <f>'12_DevOps_View'!$F$4</f>
        <v>2480000</v>
      </c>
      <c r="G15" s="4">
        <f>'12_DevOps_View'!$G$4</f>
        <v>3700000</v>
      </c>
    </row>
    <row r="16" spans="1:7" x14ac:dyDescent="0.25">
      <c r="A16" s="3" t="s">
        <v>60</v>
      </c>
      <c r="B16" s="3" t="s">
        <v>424</v>
      </c>
      <c r="C16" s="4">
        <f>'04_Adoption'!$C$19*'06_Pricing'!$C$30</f>
        <v>300000</v>
      </c>
      <c r="D16" s="4">
        <f>'04_Adoption'!$D$19*'06_Pricing'!$C$30</f>
        <v>360000</v>
      </c>
      <c r="E16" s="4">
        <f>'04_Adoption'!$E$19*'06_Pricing'!$C$30</f>
        <v>450000</v>
      </c>
      <c r="F16" s="4">
        <f>'04_Adoption'!$F$19*'06_Pricing'!$C$30</f>
        <v>540000</v>
      </c>
      <c r="G16" s="4">
        <f>'04_Adoption'!$G$19*'06_Pricing'!$C$30</f>
        <v>600000</v>
      </c>
    </row>
    <row r="17" spans="1:7" x14ac:dyDescent="0.25">
      <c r="A17" s="3" t="s">
        <v>60</v>
      </c>
      <c r="B17" s="3" t="s">
        <v>425</v>
      </c>
      <c r="C17" s="4">
        <f>'04_Adoption'!$C$18*'04_Adoption'!$C$17*'06_Pricing'!$C$33</f>
        <v>315000</v>
      </c>
      <c r="D17" s="4">
        <f>'04_Adoption'!$D$18*'04_Adoption'!$D$17*'06_Pricing'!$C$33</f>
        <v>960000</v>
      </c>
      <c r="E17" s="4">
        <f>'04_Adoption'!$E$18*'04_Adoption'!$E$17*'06_Pricing'!$C$33</f>
        <v>1890000</v>
      </c>
      <c r="F17" s="4">
        <f>'04_Adoption'!$F$18*'04_Adoption'!$F$17*'06_Pricing'!$C$33</f>
        <v>3150000</v>
      </c>
      <c r="G17" s="4">
        <f>'04_Adoption'!$G$18*'04_Adoption'!$G$17*'06_Pricing'!$C$33</f>
        <v>4500000</v>
      </c>
    </row>
    <row r="18" spans="1:7" x14ac:dyDescent="0.25">
      <c r="A18" s="3" t="s">
        <v>60</v>
      </c>
      <c r="B18" s="3" t="s">
        <v>426</v>
      </c>
      <c r="C18" s="4">
        <f>'05_Payroll_Activity'!$C$9*'06_Pricing'!$C$36</f>
        <v>59270.4</v>
      </c>
      <c r="D18" s="4">
        <f>'05_Payroll_Activity'!$D$9*'06_Pricing'!$C$36</f>
        <v>180633.6</v>
      </c>
      <c r="E18" s="4">
        <f>'05_Payroll_Activity'!$E$9*'06_Pricing'!$C$36</f>
        <v>355622.4</v>
      </c>
      <c r="F18" s="4">
        <f>'05_Payroll_Activity'!$F$9*'06_Pricing'!$C$36</f>
        <v>592704</v>
      </c>
      <c r="G18" s="4">
        <f>'05_Payroll_Activity'!$G$9*'06_Pricing'!$C$36</f>
        <v>846720</v>
      </c>
    </row>
    <row r="19" spans="1:7" x14ac:dyDescent="0.25">
      <c r="A19" s="3" t="s">
        <v>60</v>
      </c>
      <c r="B19" s="3" t="s">
        <v>427</v>
      </c>
      <c r="C19" s="4">
        <f>('04_Adoption'!$C$19*'06_Pricing'!$C$30)+('04_Adoption'!$C$18*'04_Adoption'!$C$17*'06_Pricing'!$C$33)+('05_Payroll_Activity'!$C$9*'06_Pricing'!$C$36)</f>
        <v>674270.4</v>
      </c>
      <c r="D19" s="4">
        <f>('04_Adoption'!$D$19*'06_Pricing'!$C$30)+('04_Adoption'!$D$18*'04_Adoption'!$D$17*'06_Pricing'!$C$33)+('05_Payroll_Activity'!$D$9*'06_Pricing'!$C$36)</f>
        <v>1500633.6</v>
      </c>
      <c r="E19" s="4">
        <f>('04_Adoption'!$E$19*'06_Pricing'!$C$30)+('04_Adoption'!$E$18*'04_Adoption'!$E$17*'06_Pricing'!$C$33)+('05_Payroll_Activity'!$E$9*'06_Pricing'!$C$36)</f>
        <v>2695622.4</v>
      </c>
      <c r="F19" s="4">
        <f>('04_Adoption'!$F$19*'06_Pricing'!$C$30)+('04_Adoption'!$F$18*'04_Adoption'!$F$17*'06_Pricing'!$C$33)+('05_Payroll_Activity'!$F$9*'06_Pricing'!$C$36)</f>
        <v>4282704</v>
      </c>
      <c r="G19" s="4">
        <f>('04_Adoption'!$G$19*'06_Pricing'!$C$30)+('04_Adoption'!$G$18*'04_Adoption'!$G$17*'06_Pricing'!$C$33)+('05_Payroll_Activity'!$G$9*'06_Pricing'!$C$36)</f>
        <v>5946720</v>
      </c>
    </row>
    <row r="20" spans="1:7" x14ac:dyDescent="0.25">
      <c r="A20" s="3" t="s">
        <v>60</v>
      </c>
      <c r="B20" s="3" t="s">
        <v>428</v>
      </c>
      <c r="C20" s="4">
        <f>'10_Rural_Bank_View'!$C$8</f>
        <v>323513.31</v>
      </c>
      <c r="D20" s="4">
        <f>'10_Rural_Bank_View'!$D$8</f>
        <v>766448.18</v>
      </c>
      <c r="E20" s="4">
        <f>'10_Rural_Bank_View'!$E$8</f>
        <v>1406479.85</v>
      </c>
      <c r="F20" s="4">
        <f>'10_Rural_Bank_View'!$F$8</f>
        <v>2260973.09</v>
      </c>
      <c r="G20" s="4">
        <f>'10_Rural_Bank_View'!$G$8</f>
        <v>3162075.84</v>
      </c>
    </row>
    <row r="21" spans="1:7" x14ac:dyDescent="0.25">
      <c r="A21" s="3" t="s">
        <v>60</v>
      </c>
      <c r="B21" s="3" t="s">
        <v>429</v>
      </c>
      <c r="C21" s="4">
        <f>'11_ODTI_View'!$C$8</f>
        <v>1054014.39</v>
      </c>
      <c r="D21" s="4">
        <f>'11_ODTI_View'!$D$8</f>
        <v>1959179.08</v>
      </c>
      <c r="E21" s="4">
        <f>'11_ODTI_View'!$E$8</f>
        <v>3272186.32</v>
      </c>
      <c r="F21" s="4">
        <f>'11_ODTI_View'!$F$8</f>
        <v>4978903.87</v>
      </c>
      <c r="G21" s="4">
        <f>'11_ODTI_View'!$G$8</f>
        <v>6725176.96</v>
      </c>
    </row>
    <row r="22" spans="1:7" x14ac:dyDescent="0.25">
      <c r="A22" s="3" t="s">
        <v>60</v>
      </c>
      <c r="B22" s="3" t="s">
        <v>430</v>
      </c>
      <c r="C22" s="4">
        <f>'12_DevOps_View'!$C$6</f>
        <v>920000</v>
      </c>
      <c r="D22" s="4">
        <f>'12_DevOps_View'!$D$6</f>
        <v>1880000</v>
      </c>
      <c r="E22" s="4">
        <f>'12_DevOps_View'!$E$6</f>
        <v>3270000</v>
      </c>
      <c r="F22" s="4">
        <f>'12_DevOps_View'!$F$6</f>
        <v>5100000</v>
      </c>
      <c r="G22" s="4">
        <f>'12_DevOps_View'!$G$6</f>
        <v>7000000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4" customWidth="1"/>
    <col min="2" max="2" width="39" customWidth="1"/>
    <col min="3" max="7" width="12" customWidth="1"/>
  </cols>
  <sheetData>
    <row r="1" spans="1:7" s="1" customFormat="1" x14ac:dyDescent="0.25">
      <c r="A1" s="2" t="s">
        <v>227</v>
      </c>
      <c r="B1" s="2" t="s">
        <v>228</v>
      </c>
      <c r="C1" s="2" t="s">
        <v>33</v>
      </c>
      <c r="D1" s="2" t="s">
        <v>73</v>
      </c>
      <c r="E1" s="2" t="s">
        <v>74</v>
      </c>
      <c r="F1" s="2" t="s">
        <v>75</v>
      </c>
      <c r="G1" s="2" t="s">
        <v>76</v>
      </c>
    </row>
    <row r="2" spans="1:7" x14ac:dyDescent="0.25">
      <c r="A2" s="3" t="s">
        <v>59</v>
      </c>
      <c r="B2" s="3" t="s">
        <v>431</v>
      </c>
      <c r="C2" s="4">
        <f>(('04_Adoption'!$C$7*'06_Pricing'!$C$2)*'06_Pricing'!$C$3+('04_Adoption'!$C$6*'04_Adoption'!$C$5*'06_Pricing'!$C$5)*'06_Pricing'!$C$6+'05_Payroll_Activity'!$C$3*'06_Pricing'!$C$9)*(1-'06_Pricing'!$C$13)</f>
        <v>3703.94</v>
      </c>
      <c r="D2" s="4">
        <f>(('04_Adoption'!$D$7*'06_Pricing'!$C$2)*'06_Pricing'!$C$3+('04_Adoption'!$D$6*'04_Adoption'!$D$5*'06_Pricing'!$C$5)*'06_Pricing'!$C$6+'05_Payroll_Activity'!$D$3*'06_Pricing'!$C$9)*(1-'06_Pricing'!$C$13)</f>
        <v>9827.71</v>
      </c>
      <c r="E2" s="4">
        <f>(('04_Adoption'!$E$7*'06_Pricing'!$C$2)*'06_Pricing'!$C$3+('04_Adoption'!$E$6*'04_Adoption'!$E$5*'06_Pricing'!$C$5)*'06_Pricing'!$C$6+'05_Payroll_Activity'!$E$3*'06_Pricing'!$C$9)*(1-'06_Pricing'!$C$13)</f>
        <v>19511.33</v>
      </c>
      <c r="F2" s="4">
        <f>(('04_Adoption'!$F$7*'06_Pricing'!$C$2)*'06_Pricing'!$C$3+('04_Adoption'!$F$6*'04_Adoption'!$F$5*'06_Pricing'!$C$5)*'06_Pricing'!$C$6+'05_Payroll_Activity'!$F$3*'06_Pricing'!$C$9)*(1-'06_Pricing'!$C$13)</f>
        <v>30190.85</v>
      </c>
      <c r="G2" s="4">
        <f>(('04_Adoption'!$G$7*'06_Pricing'!$C$2)*'06_Pricing'!$C$3+('04_Adoption'!$G$6*'04_Adoption'!$G$5*'06_Pricing'!$C$5)*'06_Pricing'!$C$6+'05_Payroll_Activity'!$G$3*'06_Pricing'!$C$9)*(1-'06_Pricing'!$C$13)</f>
        <v>39874.46</v>
      </c>
    </row>
    <row r="3" spans="1:7" x14ac:dyDescent="0.25">
      <c r="A3" s="3" t="s">
        <v>59</v>
      </c>
      <c r="B3" s="3" t="s">
        <v>432</v>
      </c>
      <c r="C3" s="4">
        <f>'13_SMS_Variant'!$C$5</f>
        <v>8.28</v>
      </c>
      <c r="D3" s="4">
        <f>'13_SMS_Variant'!$D$5</f>
        <v>37.26</v>
      </c>
      <c r="E3" s="4">
        <f>'13_SMS_Variant'!$E$5</f>
        <v>86.94</v>
      </c>
      <c r="F3" s="4">
        <f>'13_SMS_Variant'!$F$5</f>
        <v>149.04</v>
      </c>
      <c r="G3" s="4">
        <f>'13_SMS_Variant'!$G$5</f>
        <v>198.72</v>
      </c>
    </row>
    <row r="4" spans="1:7" x14ac:dyDescent="0.25">
      <c r="A4" s="3" t="s">
        <v>59</v>
      </c>
      <c r="B4" s="3" t="s">
        <v>433</v>
      </c>
      <c r="C4" s="4">
        <f>$C2</f>
        <v>3703.94</v>
      </c>
      <c r="D4" s="4">
        <f>$D2</f>
        <v>9827.71</v>
      </c>
      <c r="E4" s="4">
        <f>$E2</f>
        <v>19511.33</v>
      </c>
      <c r="F4" s="4">
        <f>$F2</f>
        <v>30190.85</v>
      </c>
      <c r="G4" s="4">
        <f>$G2</f>
        <v>39874.46</v>
      </c>
    </row>
    <row r="5" spans="1:7" x14ac:dyDescent="0.25">
      <c r="A5" s="3" t="s">
        <v>29</v>
      </c>
      <c r="B5" s="3" t="s">
        <v>431</v>
      </c>
      <c r="C5" s="4">
        <f>(('04_Adoption'!$C$13*'06_Pricing'!$C$16)*'06_Pricing'!$C$17+('04_Adoption'!$C$12*'04_Adoption'!$C$11*'06_Pricing'!$C$19)*'06_Pricing'!$C$20+'05_Payroll_Activity'!$C$6*'06_Pricing'!$C$23)*(1-'06_Pricing'!$C$27)</f>
        <v>51955.68</v>
      </c>
      <c r="D5" s="4">
        <f>(('04_Adoption'!$D$13*'06_Pricing'!$C$16)*'06_Pricing'!$C$17+('04_Adoption'!$D$12*'04_Adoption'!$D$11*'06_Pricing'!$C$19)*'06_Pricing'!$C$20+'05_Payroll_Activity'!$D$6*'06_Pricing'!$C$23)*(1-'06_Pricing'!$C$27)</f>
        <v>139087.87</v>
      </c>
      <c r="E5" s="4">
        <f>(('04_Adoption'!$E$13*'06_Pricing'!$C$16)*'06_Pricing'!$C$17+('04_Adoption'!$E$12*'04_Adoption'!$E$11*'06_Pricing'!$C$19)*'06_Pricing'!$C$20+'05_Payroll_Activity'!$E$6*'06_Pricing'!$C$23)*(1-'06_Pricing'!$C$27)</f>
        <v>249951.74</v>
      </c>
      <c r="F5" s="4">
        <f>(('04_Adoption'!$F$13*'06_Pricing'!$C$16)*'06_Pricing'!$C$17+('04_Adoption'!$F$12*'04_Adoption'!$F$11*'06_Pricing'!$C$19)*'06_Pricing'!$C$20+'05_Payroll_Activity'!$F$6*'06_Pricing'!$C$23)*(1-'06_Pricing'!$C$27)</f>
        <v>422390.98</v>
      </c>
      <c r="G5" s="4">
        <f>(('04_Adoption'!$G$13*'06_Pricing'!$C$16)*'06_Pricing'!$C$17+('04_Adoption'!$G$12*'04_Adoption'!$G$11*'06_Pricing'!$C$19)*'06_Pricing'!$C$20+'05_Payroll_Activity'!$G$6*'06_Pricing'!$C$23)*(1-'06_Pricing'!$C$27)</f>
        <v>653667.84</v>
      </c>
    </row>
    <row r="6" spans="1:7" x14ac:dyDescent="0.25">
      <c r="A6" s="3" t="s">
        <v>29</v>
      </c>
      <c r="B6" s="3" t="s">
        <v>432</v>
      </c>
      <c r="C6" s="4">
        <f>'13_SMS_Variant'!$C$10</f>
        <v>919.3</v>
      </c>
      <c r="D6" s="4">
        <f>'13_SMS_Variant'!$D$10</f>
        <v>3432.04</v>
      </c>
      <c r="E6" s="4">
        <f>'13_SMS_Variant'!$E$10</f>
        <v>6864.08</v>
      </c>
      <c r="F6" s="4">
        <f>'13_SMS_Variant'!$F$10</f>
        <v>12134.71</v>
      </c>
      <c r="G6" s="4">
        <f>'13_SMS_Variant'!$G$10</f>
        <v>19611.65</v>
      </c>
    </row>
    <row r="7" spans="1:7" x14ac:dyDescent="0.25">
      <c r="A7" s="3" t="s">
        <v>29</v>
      </c>
      <c r="B7" s="3" t="s">
        <v>433</v>
      </c>
      <c r="C7" s="4">
        <f>$C5</f>
        <v>51955.68</v>
      </c>
      <c r="D7" s="4">
        <f>$D5</f>
        <v>139087.87</v>
      </c>
      <c r="E7" s="4">
        <f>$E5</f>
        <v>249951.74</v>
      </c>
      <c r="F7" s="4">
        <f>$F5</f>
        <v>422390.98</v>
      </c>
      <c r="G7" s="4">
        <f>$G5</f>
        <v>653667.84</v>
      </c>
    </row>
    <row r="8" spans="1:7" x14ac:dyDescent="0.25">
      <c r="A8" s="3" t="s">
        <v>60</v>
      </c>
      <c r="B8" s="3" t="s">
        <v>431</v>
      </c>
      <c r="C8" s="4">
        <f>(('04_Adoption'!$C$19*'06_Pricing'!$C$30)*'06_Pricing'!$C$31+('04_Adoption'!$C$18*'04_Adoption'!$C$17*'06_Pricing'!$C$33)*'06_Pricing'!$C$34+'05_Payroll_Activity'!$C$9*'06_Pricing'!$C$37)*(1-'06_Pricing'!$C$41)</f>
        <v>323513.31</v>
      </c>
      <c r="D8" s="4">
        <f>(('04_Adoption'!$D$19*'06_Pricing'!$C$30)*'06_Pricing'!$C$31+('04_Adoption'!$D$18*'04_Adoption'!$D$17*'06_Pricing'!$C$33)*'06_Pricing'!$C$34+'05_Payroll_Activity'!$D$9*'06_Pricing'!$C$37)*(1-'06_Pricing'!$C$41)</f>
        <v>766448.18</v>
      </c>
      <c r="E8" s="4">
        <f>(('04_Adoption'!$E$19*'06_Pricing'!$C$30)*'06_Pricing'!$C$31+('04_Adoption'!$E$18*'04_Adoption'!$E$17*'06_Pricing'!$C$33)*'06_Pricing'!$C$34+'05_Payroll_Activity'!$E$9*'06_Pricing'!$C$37)*(1-'06_Pricing'!$C$41)</f>
        <v>1406479.85</v>
      </c>
      <c r="F8" s="4">
        <f>(('04_Adoption'!$F$19*'06_Pricing'!$C$30)*'06_Pricing'!$C$31+('04_Adoption'!$F$18*'04_Adoption'!$F$17*'06_Pricing'!$C$33)*'06_Pricing'!$C$34+'05_Payroll_Activity'!$F$9*'06_Pricing'!$C$37)*(1-'06_Pricing'!$C$41)</f>
        <v>2260973.09</v>
      </c>
      <c r="G8" s="4">
        <f>(('04_Adoption'!$G$19*'06_Pricing'!$C$30)*'06_Pricing'!$C$31+('04_Adoption'!$G$18*'04_Adoption'!$G$17*'06_Pricing'!$C$33)*'06_Pricing'!$C$34+'05_Payroll_Activity'!$G$9*'06_Pricing'!$C$37)*(1-'06_Pricing'!$C$41)</f>
        <v>3162075.84</v>
      </c>
    </row>
    <row r="9" spans="1:7" x14ac:dyDescent="0.25">
      <c r="A9" s="3" t="s">
        <v>60</v>
      </c>
      <c r="B9" s="3" t="s">
        <v>432</v>
      </c>
      <c r="C9" s="4">
        <f>'13_SMS_Variant'!$C$15</f>
        <v>11872.16</v>
      </c>
      <c r="D9" s="4">
        <f>'13_SMS_Variant'!$D$15</f>
        <v>36181.81</v>
      </c>
      <c r="E9" s="4">
        <f>'13_SMS_Variant'!$E$15</f>
        <v>71232.94</v>
      </c>
      <c r="F9" s="4">
        <f>'13_SMS_Variant'!$F$15</f>
        <v>118721.57</v>
      </c>
      <c r="G9" s="4">
        <f>'13_SMS_Variant'!$G$15</f>
        <v>169602.25</v>
      </c>
    </row>
    <row r="10" spans="1:7" x14ac:dyDescent="0.25">
      <c r="A10" s="3" t="s">
        <v>60</v>
      </c>
      <c r="B10" s="3" t="s">
        <v>433</v>
      </c>
      <c r="C10" s="4">
        <f>$C8</f>
        <v>323513.31</v>
      </c>
      <c r="D10" s="4">
        <f>$D8</f>
        <v>766448.18</v>
      </c>
      <c r="E10" s="4">
        <f>$E8</f>
        <v>1406479.85</v>
      </c>
      <c r="F10" s="4">
        <f>$F8</f>
        <v>2260973.09</v>
      </c>
      <c r="G10" s="4">
        <f>$G8</f>
        <v>3162075.84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4" customWidth="1"/>
    <col min="2" max="2" width="42" customWidth="1"/>
    <col min="3" max="7" width="35" customWidth="1"/>
  </cols>
  <sheetData>
    <row r="1" spans="1:7" s="1" customFormat="1" x14ac:dyDescent="0.25">
      <c r="A1" s="2" t="s">
        <v>227</v>
      </c>
      <c r="B1" s="2" t="s">
        <v>228</v>
      </c>
      <c r="C1" s="2" t="s">
        <v>33</v>
      </c>
      <c r="D1" s="2" t="s">
        <v>73</v>
      </c>
      <c r="E1" s="2" t="s">
        <v>74</v>
      </c>
      <c r="F1" s="2" t="s">
        <v>75</v>
      </c>
      <c r="G1" s="2" t="s">
        <v>76</v>
      </c>
    </row>
    <row r="2" spans="1:7" x14ac:dyDescent="0.25">
      <c r="A2" s="3" t="s">
        <v>59</v>
      </c>
      <c r="B2" s="3" t="s">
        <v>434</v>
      </c>
      <c r="C2" s="4">
        <f>'04_Adoption'!$C$2*'06_Pricing'!$C$11+('04_Adoption'!$C$4*'04_Adoption'!$C$5*'06_Pricing'!$C$12)/12+(('04_Adoption'!$C$7*'06_Pricing'!$C$2)*'06_Pricing'!$C$4+('04_Adoption'!$C$6*'04_Adoption'!$C$5*'06_Pricing'!$C$5)*'06_Pricing'!$C$7+'05_Payroll_Activity'!$C$3*'06_Pricing'!$C$10)*(1-'06_Pricing'!$C$13)</f>
        <v>124415.9</v>
      </c>
      <c r="D2" s="4">
        <f>'04_Adoption'!$D$2*'06_Pricing'!$C$11+('04_Adoption'!$D$4*'04_Adoption'!$D$5*'06_Pricing'!$C$12)/12+(('04_Adoption'!$D$7*'06_Pricing'!$C$2)*'06_Pricing'!$C$4+('04_Adoption'!$D$6*'04_Adoption'!$D$5*'06_Pricing'!$C$5)*'06_Pricing'!$C$7+'05_Payroll_Activity'!$D$3*'06_Pricing'!$C$10)*(1-'06_Pricing'!$C$13)</f>
        <v>249611.57</v>
      </c>
      <c r="E2" s="4">
        <f>'04_Adoption'!$E$2*'06_Pricing'!$C$11+('04_Adoption'!$E$4*'04_Adoption'!$E$5*'06_Pricing'!$C$12)/12+(('04_Adoption'!$E$7*'06_Pricing'!$C$2)*'06_Pricing'!$C$4+('04_Adoption'!$E$6*'04_Adoption'!$E$5*'06_Pricing'!$C$5)*'06_Pricing'!$C$7+'05_Payroll_Activity'!$E$3*'06_Pricing'!$C$10)*(1-'06_Pricing'!$C$13)</f>
        <v>427296.99</v>
      </c>
      <c r="F2" s="4">
        <f>'04_Adoption'!$F$2*'06_Pricing'!$C$11+('04_Adoption'!$F$4*'04_Adoption'!$F$5*'06_Pricing'!$C$12)/12+(('04_Adoption'!$F$7*'06_Pricing'!$C$2)*'06_Pricing'!$C$4+('04_Adoption'!$F$6*'04_Adoption'!$F$5*'06_Pricing'!$C$5)*'06_Pricing'!$C$7+'05_Payroll_Activity'!$F$3*'06_Pricing'!$C$10)*(1-'06_Pricing'!$C$13)</f>
        <v>584766.27</v>
      </c>
      <c r="G2" s="4">
        <f>'04_Adoption'!$G$2*'06_Pricing'!$C$11+('04_Adoption'!$G$4*'04_Adoption'!$G$5*'06_Pricing'!$C$12)/12+(('04_Adoption'!$G$7*'06_Pricing'!$C$2)*'06_Pricing'!$C$4+('04_Adoption'!$G$6*'04_Adoption'!$G$5*'06_Pricing'!$C$5)*'06_Pricing'!$C$7+'05_Payroll_Activity'!$G$3*'06_Pricing'!$C$10)*(1-'06_Pricing'!$C$13)</f>
        <v>762451.7</v>
      </c>
    </row>
    <row r="3" spans="1:7" x14ac:dyDescent="0.25">
      <c r="A3" s="3" t="s">
        <v>59</v>
      </c>
      <c r="B3" s="3" t="s">
        <v>435</v>
      </c>
      <c r="C3" s="4">
        <f>$C2-('04_Adoption'!$C$2*'02_Assumptions'!$F$31+'04_Adoption'!$C$4*'04_Adoption'!$C$5*'02_Assumptions'!$F$30)</f>
        <v>72415.9</v>
      </c>
      <c r="D3" s="4">
        <f>$D2-('04_Adoption'!$D$2*'02_Assumptions'!$F$31+'04_Adoption'!$D$4*'04_Adoption'!$D$5*'02_Assumptions'!$F$30)</f>
        <v>135611.57</v>
      </c>
      <c r="E3" s="4">
        <f>$E2-('04_Adoption'!$E$2*'02_Assumptions'!$F$31+'04_Adoption'!$E$4*'04_Adoption'!$E$5*'02_Assumptions'!$F$30)</f>
        <v>221296.99</v>
      </c>
      <c r="F3" s="4">
        <f>$F2-('04_Adoption'!$F$2*'02_Assumptions'!$F$31+'04_Adoption'!$F$4*'04_Adoption'!$F$5*'02_Assumptions'!$F$30)</f>
        <v>288766.27</v>
      </c>
      <c r="G3" s="4">
        <f>$G2-('04_Adoption'!$G$2*'02_Assumptions'!$F$31+'04_Adoption'!$G$4*'04_Adoption'!$G$5*'02_Assumptions'!$F$30)</f>
        <v>374451.7</v>
      </c>
    </row>
    <row r="4" spans="1:7" x14ac:dyDescent="0.25">
      <c r="A4" s="3" t="s">
        <v>59</v>
      </c>
      <c r="B4" s="3" t="s">
        <v>287</v>
      </c>
      <c r="C4" s="3" t="s">
        <v>436</v>
      </c>
      <c r="D4" s="3" t="s">
        <v>436</v>
      </c>
      <c r="E4" s="3" t="s">
        <v>436</v>
      </c>
      <c r="F4" s="3" t="s">
        <v>436</v>
      </c>
      <c r="G4" s="3" t="s">
        <v>436</v>
      </c>
    </row>
    <row r="5" spans="1:7" x14ac:dyDescent="0.25">
      <c r="A5" s="3" t="s">
        <v>29</v>
      </c>
      <c r="B5" s="3" t="s">
        <v>434</v>
      </c>
      <c r="C5" s="4">
        <f>'04_Adoption'!$C$8*'06_Pricing'!$C$25+('04_Adoption'!$C$10*'04_Adoption'!$C$11*'06_Pricing'!$C$26)/12+(('04_Adoption'!$C$13*'06_Pricing'!$C$16)*'06_Pricing'!$C$18+('04_Adoption'!$C$12*'04_Adoption'!$C$11*'06_Pricing'!$C$19)*'06_Pricing'!$C$21+'05_Payroll_Activity'!$C$6*'06_Pricing'!$C$24)*(1-'06_Pricing'!$C$27)</f>
        <v>381871.36</v>
      </c>
      <c r="D5" s="4">
        <f>'04_Adoption'!$D$8*'06_Pricing'!$C$25+('04_Adoption'!$D$10*'04_Adoption'!$D$11*'06_Pricing'!$C$26)/12+(('04_Adoption'!$D$13*'06_Pricing'!$C$16)*'06_Pricing'!$C$18+('04_Adoption'!$D$12*'04_Adoption'!$D$11*'06_Pricing'!$C$19)*'06_Pricing'!$C$21+'05_Payroll_Activity'!$D$6*'06_Pricing'!$C$24)*(1-'06_Pricing'!$C$27)</f>
        <v>759999.74</v>
      </c>
      <c r="E5" s="4">
        <f>'04_Adoption'!$E$8*'06_Pricing'!$C$25+('04_Adoption'!$E$10*'04_Adoption'!$E$11*'06_Pricing'!$C$26)/12+(('04_Adoption'!$E$13*'06_Pricing'!$C$16)*'06_Pricing'!$C$18+('04_Adoption'!$E$12*'04_Adoption'!$E$11*'06_Pricing'!$C$19)*'06_Pricing'!$C$21+'05_Payroll_Activity'!$E$6*'06_Pricing'!$C$24)*(1-'06_Pricing'!$C$27)</f>
        <v>1177663.49</v>
      </c>
      <c r="F5" s="4">
        <f>'04_Adoption'!$F$8*'06_Pricing'!$C$25+('04_Adoption'!$F$10*'04_Adoption'!$F$11*'06_Pricing'!$C$26)/12+(('04_Adoption'!$F$13*'06_Pricing'!$C$16)*'06_Pricing'!$C$18+('04_Adoption'!$F$12*'04_Adoption'!$F$11*'06_Pricing'!$C$19)*'06_Pricing'!$C$21+'05_Payroll_Activity'!$F$6*'06_Pricing'!$C$24)*(1-'06_Pricing'!$C$27)</f>
        <v>1845565.95</v>
      </c>
      <c r="G5" s="4">
        <f>'04_Adoption'!$G$8*'06_Pricing'!$C$25+('04_Adoption'!$G$10*'04_Adoption'!$G$11*'06_Pricing'!$C$26)/12+(('04_Adoption'!$G$13*'06_Pricing'!$C$16)*'06_Pricing'!$C$18+('04_Adoption'!$G$12*'04_Adoption'!$G$11*'06_Pricing'!$C$19)*'06_Pricing'!$C$21+'05_Payroll_Activity'!$G$6*'06_Pricing'!$C$24)*(1-'06_Pricing'!$C$27)</f>
        <v>2631175.68</v>
      </c>
    </row>
    <row r="6" spans="1:7" x14ac:dyDescent="0.25">
      <c r="A6" s="3" t="s">
        <v>29</v>
      </c>
      <c r="B6" s="3" t="s">
        <v>435</v>
      </c>
      <c r="C6" s="4">
        <f>$C5-('04_Adoption'!$C$8*'02_Assumptions'!$G$31+'04_Adoption'!$C$10*'04_Adoption'!$C$11*'02_Assumptions'!$G$30)</f>
        <v>269371.36</v>
      </c>
      <c r="D6" s="4">
        <f>$D5-('04_Adoption'!$D$8*'02_Assumptions'!$G$31+'04_Adoption'!$D$10*'04_Adoption'!$D$11*'02_Assumptions'!$G$30)</f>
        <v>514999.74</v>
      </c>
      <c r="E6" s="4">
        <f>$E5-('04_Adoption'!$E$8*'02_Assumptions'!$G$31+'04_Adoption'!$E$10*'04_Adoption'!$E$11*'02_Assumptions'!$G$30)</f>
        <v>777663.49</v>
      </c>
      <c r="F6" s="4">
        <f>$F5-('04_Adoption'!$F$8*'02_Assumptions'!$G$31+'04_Adoption'!$F$10*'04_Adoption'!$F$11*'02_Assumptions'!$G$30)</f>
        <v>1200565.95</v>
      </c>
      <c r="G6" s="4">
        <f>$G5-('04_Adoption'!$G$8*'02_Assumptions'!$G$31+'04_Adoption'!$G$10*'04_Adoption'!$G$11*'02_Assumptions'!$G$30)</f>
        <v>1681175.68</v>
      </c>
    </row>
    <row r="7" spans="1:7" x14ac:dyDescent="0.25">
      <c r="A7" s="3" t="s">
        <v>29</v>
      </c>
      <c r="B7" s="3" t="s">
        <v>287</v>
      </c>
      <c r="C7" s="3" t="s">
        <v>436</v>
      </c>
      <c r="D7" s="3" t="s">
        <v>436</v>
      </c>
      <c r="E7" s="3" t="s">
        <v>436</v>
      </c>
      <c r="F7" s="3" t="s">
        <v>436</v>
      </c>
      <c r="G7" s="3" t="s">
        <v>436</v>
      </c>
    </row>
    <row r="8" spans="1:7" x14ac:dyDescent="0.25">
      <c r="A8" s="3" t="s">
        <v>60</v>
      </c>
      <c r="B8" s="3" t="s">
        <v>434</v>
      </c>
      <c r="C8" s="4">
        <f>'04_Adoption'!$C$14*'06_Pricing'!$C$39+('04_Adoption'!$C$16*'04_Adoption'!$C$17*'06_Pricing'!$C$40)/12+(('04_Adoption'!$C$19*'06_Pricing'!$C$30)*'06_Pricing'!$C$32+('04_Adoption'!$C$18*'04_Adoption'!$C$17*'06_Pricing'!$C$33)*'06_Pricing'!$C$35+'05_Payroll_Activity'!$C$9*'06_Pricing'!$C$38)*(1-'06_Pricing'!$C$41)</f>
        <v>1054014.39</v>
      </c>
      <c r="D8" s="4">
        <f>'04_Adoption'!$D$14*'06_Pricing'!$C$39+('04_Adoption'!$D$16*'04_Adoption'!$D$17*'06_Pricing'!$C$40)/12+(('04_Adoption'!$D$19*'06_Pricing'!$C$30)*'06_Pricing'!$C$32+('04_Adoption'!$D$18*'04_Adoption'!$D$17*'06_Pricing'!$C$33)*'06_Pricing'!$C$35+'05_Payroll_Activity'!$D$9*'06_Pricing'!$C$38)*(1-'06_Pricing'!$C$41)</f>
        <v>1959179.08</v>
      </c>
      <c r="E8" s="4">
        <f>'04_Adoption'!$E$14*'06_Pricing'!$C$39+('04_Adoption'!$E$16*'04_Adoption'!$E$17*'06_Pricing'!$C$40)/12+(('04_Adoption'!$E$19*'06_Pricing'!$C$30)*'06_Pricing'!$C$32+('04_Adoption'!$E$18*'04_Adoption'!$E$17*'06_Pricing'!$C$33)*'06_Pricing'!$C$35+'05_Payroll_Activity'!$E$9*'06_Pricing'!$C$38)*(1-'06_Pricing'!$C$41)</f>
        <v>3272186.32</v>
      </c>
      <c r="F8" s="4">
        <f>'04_Adoption'!$F$14*'06_Pricing'!$C$39+('04_Adoption'!$F$16*'04_Adoption'!$F$17*'06_Pricing'!$C$40)/12+(('04_Adoption'!$F$19*'06_Pricing'!$C$30)*'06_Pricing'!$C$32+('04_Adoption'!$F$18*'04_Adoption'!$F$17*'06_Pricing'!$C$33)*'06_Pricing'!$C$35+'05_Payroll_Activity'!$F$9*'06_Pricing'!$C$38)*(1-'06_Pricing'!$C$41)</f>
        <v>4978903.87</v>
      </c>
      <c r="G8" s="4">
        <f>'04_Adoption'!$G$14*'06_Pricing'!$C$39+('04_Adoption'!$G$16*'04_Adoption'!$G$17*'06_Pricing'!$C$40)/12+(('04_Adoption'!$G$19*'06_Pricing'!$C$30)*'06_Pricing'!$C$32+('04_Adoption'!$G$18*'04_Adoption'!$G$17*'06_Pricing'!$C$33)*'06_Pricing'!$C$35+'05_Payroll_Activity'!$G$9*'06_Pricing'!$C$38)*(1-'06_Pricing'!$C$41)</f>
        <v>6725176.96</v>
      </c>
    </row>
    <row r="9" spans="1:7" x14ac:dyDescent="0.25">
      <c r="A9" s="3" t="s">
        <v>60</v>
      </c>
      <c r="B9" s="3" t="s">
        <v>435</v>
      </c>
      <c r="C9" s="4">
        <f>$C8-('04_Adoption'!$C$14*'02_Assumptions'!$H$31+'04_Adoption'!$C$16*'04_Adoption'!$C$17*'02_Assumptions'!$H$30)</f>
        <v>850014.39</v>
      </c>
      <c r="D9" s="4">
        <f>$D8-('04_Adoption'!$D$14*'02_Assumptions'!$H$31+'04_Adoption'!$D$16*'04_Adoption'!$D$17*'02_Assumptions'!$H$30)</f>
        <v>1559179.08</v>
      </c>
      <c r="E9" s="4">
        <f>$E8-('04_Adoption'!$E$14*'02_Assumptions'!$H$31+'04_Adoption'!$E$16*'04_Adoption'!$E$17*'02_Assumptions'!$H$30)</f>
        <v>2588186.32</v>
      </c>
      <c r="F9" s="4">
        <f>$F8-('04_Adoption'!$F$14*'02_Assumptions'!$H$31+'04_Adoption'!$F$16*'04_Adoption'!$F$17*'02_Assumptions'!$H$30)</f>
        <v>3922903.87</v>
      </c>
      <c r="G9" s="4">
        <f>$G8-('04_Adoption'!$G$14*'02_Assumptions'!$H$31+'04_Adoption'!$G$16*'04_Adoption'!$G$17*'02_Assumptions'!$H$30)</f>
        <v>5285176.96</v>
      </c>
    </row>
    <row r="10" spans="1:7" x14ac:dyDescent="0.25">
      <c r="A10" s="3" t="s">
        <v>60</v>
      </c>
      <c r="B10" s="3" t="s">
        <v>287</v>
      </c>
      <c r="C10" s="3" t="s">
        <v>436</v>
      </c>
      <c r="D10" s="3" t="s">
        <v>436</v>
      </c>
      <c r="E10" s="3" t="s">
        <v>436</v>
      </c>
      <c r="F10" s="3" t="s">
        <v>436</v>
      </c>
      <c r="G10" s="3" t="s">
        <v>436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4" customWidth="1"/>
    <col min="2" max="2" width="21" customWidth="1"/>
    <col min="3" max="7" width="12" customWidth="1"/>
  </cols>
  <sheetData>
    <row r="1" spans="1:7" s="1" customFormat="1" x14ac:dyDescent="0.25">
      <c r="A1" s="2" t="s">
        <v>227</v>
      </c>
      <c r="B1" s="2" t="s">
        <v>228</v>
      </c>
      <c r="C1" s="2" t="s">
        <v>33</v>
      </c>
      <c r="D1" s="2" t="s">
        <v>73</v>
      </c>
      <c r="E1" s="2" t="s">
        <v>74</v>
      </c>
      <c r="F1" s="2" t="s">
        <v>75</v>
      </c>
      <c r="G1" s="2" t="s">
        <v>76</v>
      </c>
    </row>
    <row r="2" spans="1:7" x14ac:dyDescent="0.25">
      <c r="A2" s="3" t="s">
        <v>59</v>
      </c>
      <c r="B2" s="3" t="s">
        <v>437</v>
      </c>
      <c r="C2" s="4">
        <f>'04_Adoption'!$C$2*'02_Assumptions'!$F$32+'04_Adoption'!$C$4*'04_Adoption'!$C$5*'02_Assumptions'!$F$33</f>
        <v>140000</v>
      </c>
      <c r="D2" s="4">
        <f>'04_Adoption'!$D$2*'02_Assumptions'!$F$32+'04_Adoption'!$D$4*'04_Adoption'!$D$5*'02_Assumptions'!$F$33</f>
        <v>330000</v>
      </c>
      <c r="E2" s="4">
        <f>'04_Adoption'!$E$2*'02_Assumptions'!$F$32+'04_Adoption'!$E$4*'04_Adoption'!$E$5*'02_Assumptions'!$F$33</f>
        <v>620000</v>
      </c>
      <c r="F2" s="4">
        <f>'04_Adoption'!$F$2*'02_Assumptions'!$F$32+'04_Adoption'!$F$4*'04_Adoption'!$F$5*'02_Assumptions'!$F$33</f>
        <v>920000</v>
      </c>
      <c r="G2" s="4">
        <f>'04_Adoption'!$G$2*'02_Assumptions'!$F$32+'04_Adoption'!$G$4*'04_Adoption'!$G$5*'02_Assumptions'!$F$33</f>
        <v>1210000</v>
      </c>
    </row>
    <row r="3" spans="1:7" x14ac:dyDescent="0.25">
      <c r="A3" s="3" t="s">
        <v>59</v>
      </c>
      <c r="B3" s="3" t="s">
        <v>438</v>
      </c>
      <c r="C3" s="4">
        <f>$C2-'04_Adoption'!$C$4*'04_Adoption'!$C$5*'02_Assumptions'!$F$34</f>
        <v>108000</v>
      </c>
      <c r="D3" s="4">
        <f>$D2-'04_Adoption'!$D$4*'04_Adoption'!$D$5*'02_Assumptions'!$F$34</f>
        <v>186000</v>
      </c>
      <c r="E3" s="4">
        <f>$E2-'04_Adoption'!$E$4*'04_Adoption'!$E$5*'02_Assumptions'!$F$34</f>
        <v>284000</v>
      </c>
      <c r="F3" s="4">
        <f>$F2-'04_Adoption'!$F$4*'04_Adoption'!$F$5*'02_Assumptions'!$F$34</f>
        <v>344000</v>
      </c>
      <c r="G3" s="4">
        <f>$G2-'04_Adoption'!$G$4*'04_Adoption'!$G$5*'02_Assumptions'!$F$34</f>
        <v>442000</v>
      </c>
    </row>
    <row r="4" spans="1:7" x14ac:dyDescent="0.25">
      <c r="A4" s="3" t="s">
        <v>29</v>
      </c>
      <c r="B4" s="3" t="s">
        <v>437</v>
      </c>
      <c r="C4" s="4">
        <f>'04_Adoption'!$C$8*'02_Assumptions'!$G$32+'04_Adoption'!$C$10*'04_Adoption'!$C$11*'02_Assumptions'!$G$33</f>
        <v>400000</v>
      </c>
      <c r="D4" s="4">
        <f>'04_Adoption'!$D$8*'02_Assumptions'!$G$32+'04_Adoption'!$D$10*'04_Adoption'!$D$11*'02_Assumptions'!$G$33</f>
        <v>910000</v>
      </c>
      <c r="E4" s="4">
        <f>'04_Adoption'!$E$8*'02_Assumptions'!$G$32+'04_Adoption'!$E$10*'04_Adoption'!$E$11*'02_Assumptions'!$G$33</f>
        <v>1520000</v>
      </c>
      <c r="F4" s="4">
        <f>'04_Adoption'!$F$8*'02_Assumptions'!$G$32+'04_Adoption'!$F$10*'04_Adoption'!$F$11*'02_Assumptions'!$G$33</f>
        <v>2480000</v>
      </c>
      <c r="G4" s="4">
        <f>'04_Adoption'!$G$8*'02_Assumptions'!$G$32+'04_Adoption'!$G$10*'04_Adoption'!$G$11*'02_Assumptions'!$G$33</f>
        <v>3700000</v>
      </c>
    </row>
    <row r="5" spans="1:7" x14ac:dyDescent="0.25">
      <c r="A5" s="3" t="s">
        <v>29</v>
      </c>
      <c r="B5" s="3" t="s">
        <v>438</v>
      </c>
      <c r="C5" s="4">
        <f>$C4-'04_Adoption'!$C$10*'04_Adoption'!$C$11*'02_Assumptions'!$G$34</f>
        <v>310000</v>
      </c>
      <c r="D5" s="4">
        <f>$D4-'04_Adoption'!$D$10*'04_Adoption'!$D$11*'02_Assumptions'!$G$34</f>
        <v>574000</v>
      </c>
      <c r="E5" s="4">
        <f>$E4-'04_Adoption'!$E$10*'04_Adoption'!$E$11*'02_Assumptions'!$G$34</f>
        <v>848000</v>
      </c>
      <c r="F5" s="4">
        <f>$F4-'04_Adoption'!$F$10*'04_Adoption'!$F$11*'02_Assumptions'!$G$34</f>
        <v>1292000</v>
      </c>
      <c r="G5" s="4">
        <f>$G4-'04_Adoption'!$G$10*'04_Adoption'!$G$11*'02_Assumptions'!$G$34</f>
        <v>1780000</v>
      </c>
    </row>
    <row r="6" spans="1:7" x14ac:dyDescent="0.25">
      <c r="A6" s="3" t="s">
        <v>60</v>
      </c>
      <c r="B6" s="3" t="s">
        <v>437</v>
      </c>
      <c r="C6" s="4">
        <f>'04_Adoption'!$C$14*'02_Assumptions'!$H$32+'04_Adoption'!$C$16*'04_Adoption'!$C$17*'02_Assumptions'!$H$33</f>
        <v>920000</v>
      </c>
      <c r="D6" s="4">
        <f>'04_Adoption'!$D$14*'02_Assumptions'!$H$32+'04_Adoption'!$D$16*'04_Adoption'!$D$17*'02_Assumptions'!$H$33</f>
        <v>1880000</v>
      </c>
      <c r="E6" s="4">
        <f>'04_Adoption'!$E$14*'02_Assumptions'!$H$32+'04_Adoption'!$E$16*'04_Adoption'!$E$17*'02_Assumptions'!$H$33</f>
        <v>3270000</v>
      </c>
      <c r="F6" s="4">
        <f>'04_Adoption'!$F$14*'02_Assumptions'!$H$32+'04_Adoption'!$F$16*'04_Adoption'!$F$17*'02_Assumptions'!$H$33</f>
        <v>5100000</v>
      </c>
      <c r="G6" s="4">
        <f>'04_Adoption'!$G$14*'02_Assumptions'!$H$32+'04_Adoption'!$G$16*'04_Adoption'!$G$17*'02_Assumptions'!$H$33</f>
        <v>7000000</v>
      </c>
    </row>
    <row r="7" spans="1:7" x14ac:dyDescent="0.25">
      <c r="A7" s="3" t="s">
        <v>60</v>
      </c>
      <c r="B7" s="3" t="s">
        <v>438</v>
      </c>
      <c r="C7" s="4">
        <f>$C6-'04_Adoption'!$C$16*'04_Adoption'!$C$17*'02_Assumptions'!$H$34</f>
        <v>710000</v>
      </c>
      <c r="D7" s="4">
        <f>$D6-'04_Adoption'!$D$16*'04_Adoption'!$D$17*'02_Assumptions'!$H$34</f>
        <v>1240000</v>
      </c>
      <c r="E7" s="4">
        <f>$E6-'04_Adoption'!$E$16*'04_Adoption'!$E$17*'02_Assumptions'!$H$34</f>
        <v>2010000</v>
      </c>
      <c r="F7" s="4">
        <f>$F6-'04_Adoption'!$F$16*'04_Adoption'!$F$17*'02_Assumptions'!$H$34</f>
        <v>3000000</v>
      </c>
      <c r="G7" s="4">
        <f>$G6-'04_Adoption'!$G$16*'04_Adoption'!$G$17*'02_Assumptions'!$H$34</f>
        <v>4000000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4" customWidth="1"/>
    <col min="2" max="2" width="42" customWidth="1"/>
    <col min="3" max="7" width="12" customWidth="1"/>
  </cols>
  <sheetData>
    <row r="1" spans="1:7" s="1" customFormat="1" x14ac:dyDescent="0.25">
      <c r="A1" s="2" t="s">
        <v>227</v>
      </c>
      <c r="B1" s="2" t="s">
        <v>228</v>
      </c>
      <c r="C1" s="2" t="s">
        <v>33</v>
      </c>
      <c r="D1" s="2" t="s">
        <v>73</v>
      </c>
      <c r="E1" s="2" t="s">
        <v>74</v>
      </c>
      <c r="F1" s="2" t="s">
        <v>75</v>
      </c>
      <c r="G1" s="2" t="s">
        <v>76</v>
      </c>
    </row>
    <row r="2" spans="1:7" x14ac:dyDescent="0.25">
      <c r="A2" s="3" t="s">
        <v>59</v>
      </c>
      <c r="B2" s="3" t="s">
        <v>439</v>
      </c>
      <c r="C2" s="4">
        <f>'05_Payroll_Activity'!$C$4</f>
        <v>33.12</v>
      </c>
      <c r="D2" s="4">
        <f>'05_Payroll_Activity'!$D$4</f>
        <v>149.04</v>
      </c>
      <c r="E2" s="4">
        <f>'05_Payroll_Activity'!$E$4</f>
        <v>347.76</v>
      </c>
      <c r="F2" s="4">
        <f>'05_Payroll_Activity'!$F$4</f>
        <v>596.16</v>
      </c>
      <c r="G2" s="4">
        <f>'05_Payroll_Activity'!$G$4</f>
        <v>794.88</v>
      </c>
    </row>
    <row r="3" spans="1:7" x14ac:dyDescent="0.25">
      <c r="A3" s="3" t="s">
        <v>59</v>
      </c>
      <c r="B3" s="3" t="s">
        <v>440</v>
      </c>
      <c r="C3" s="4">
        <f>'05_Payroll_Activity'!$C$4*'06_Pricing'!$C$14</f>
        <v>33.12</v>
      </c>
      <c r="D3" s="4">
        <f>'05_Payroll_Activity'!$D$4*'06_Pricing'!$C$14</f>
        <v>149.04</v>
      </c>
      <c r="E3" s="4">
        <f>'05_Payroll_Activity'!$E$4*'06_Pricing'!$C$14</f>
        <v>347.76</v>
      </c>
      <c r="F3" s="4">
        <f>'05_Payroll_Activity'!$F$4*'06_Pricing'!$C$14</f>
        <v>596.16</v>
      </c>
      <c r="G3" s="4">
        <f>'05_Payroll_Activity'!$G$4*'06_Pricing'!$C$14</f>
        <v>794.88</v>
      </c>
    </row>
    <row r="4" spans="1:7" x14ac:dyDescent="0.25">
      <c r="A4" s="3" t="s">
        <v>59</v>
      </c>
      <c r="B4" s="3" t="s">
        <v>441</v>
      </c>
      <c r="C4" s="4">
        <f>$C3*(1-'06_Pricing'!$C$13)</f>
        <v>31.46</v>
      </c>
      <c r="D4" s="4">
        <f>$D3*(1-'06_Pricing'!$C$13)</f>
        <v>141.59</v>
      </c>
      <c r="E4" s="4">
        <f>$E3*(1-'06_Pricing'!$C$13)</f>
        <v>330.37</v>
      </c>
      <c r="F4" s="4">
        <f>$F3*(1-'06_Pricing'!$C$13)</f>
        <v>566.35</v>
      </c>
      <c r="G4" s="4">
        <f>$G3*(1-'06_Pricing'!$C$13)</f>
        <v>755.14</v>
      </c>
    </row>
    <row r="5" spans="1:7" x14ac:dyDescent="0.25">
      <c r="A5" s="3" t="s">
        <v>59</v>
      </c>
      <c r="B5" s="3" t="s">
        <v>442</v>
      </c>
      <c r="C5" s="4">
        <f>'05_Payroll_Activity'!$C$4*'06_Pricing'!$C$15</f>
        <v>23.18</v>
      </c>
      <c r="D5" s="4">
        <f>'05_Payroll_Activity'!$D$4*'06_Pricing'!$C$15</f>
        <v>104.33</v>
      </c>
      <c r="E5" s="4">
        <f>'05_Payroll_Activity'!$E$4*'06_Pricing'!$C$15</f>
        <v>243.43</v>
      </c>
      <c r="F5" s="4">
        <f>'05_Payroll_Activity'!$F$4*'06_Pricing'!$C$15</f>
        <v>417.31</v>
      </c>
      <c r="G5" s="4">
        <f>'05_Payroll_Activity'!$G$4*'06_Pricing'!$C$15</f>
        <v>556.42</v>
      </c>
    </row>
    <row r="6" spans="1:7" x14ac:dyDescent="0.25">
      <c r="A6" s="3" t="s">
        <v>59</v>
      </c>
      <c r="B6" s="3" t="s">
        <v>432</v>
      </c>
      <c r="C6" s="4">
        <f>$C4-$C5</f>
        <v>8.28</v>
      </c>
      <c r="D6" s="4">
        <f>$D4-$D5</f>
        <v>37.26</v>
      </c>
      <c r="E6" s="4">
        <f>$E4-$E5</f>
        <v>86.94</v>
      </c>
      <c r="F6" s="4">
        <f>$F4-$F5</f>
        <v>149.04</v>
      </c>
      <c r="G6" s="4">
        <f>$G4-$G5</f>
        <v>198.72</v>
      </c>
    </row>
    <row r="7" spans="1:7" x14ac:dyDescent="0.25">
      <c r="A7" s="3" t="s">
        <v>29</v>
      </c>
      <c r="B7" s="3" t="s">
        <v>439</v>
      </c>
      <c r="C7" s="4">
        <f>'05_Payroll_Activity'!$C$7</f>
        <v>1915.2</v>
      </c>
      <c r="D7" s="4">
        <f>'05_Payroll_Activity'!$D$7</f>
        <v>7150.08</v>
      </c>
      <c r="E7" s="4">
        <f>'05_Payroll_Activity'!$E$7</f>
        <v>14300.16</v>
      </c>
      <c r="F7" s="4">
        <f>'05_Payroll_Activity'!$F$7</f>
        <v>25280.64</v>
      </c>
      <c r="G7" s="4">
        <f>'05_Payroll_Activity'!$G$7</f>
        <v>40857.6</v>
      </c>
    </row>
    <row r="8" spans="1:7" x14ac:dyDescent="0.25">
      <c r="A8" s="3" t="s">
        <v>29</v>
      </c>
      <c r="B8" s="3" t="s">
        <v>440</v>
      </c>
      <c r="C8" s="4">
        <f>'05_Payroll_Activity'!$C$7*'06_Pricing'!$C$28</f>
        <v>1915.2</v>
      </c>
      <c r="D8" s="4">
        <f>'05_Payroll_Activity'!$D$7*'06_Pricing'!$C$28</f>
        <v>7150.08</v>
      </c>
      <c r="E8" s="4">
        <f>'05_Payroll_Activity'!$E$7*'06_Pricing'!$C$28</f>
        <v>14300.16</v>
      </c>
      <c r="F8" s="4">
        <f>'05_Payroll_Activity'!$F$7*'06_Pricing'!$C$28</f>
        <v>25280.64</v>
      </c>
      <c r="G8" s="4">
        <f>'05_Payroll_Activity'!$G$7*'06_Pricing'!$C$28</f>
        <v>40857.6</v>
      </c>
    </row>
    <row r="9" spans="1:7" x14ac:dyDescent="0.25">
      <c r="A9" s="3" t="s">
        <v>29</v>
      </c>
      <c r="B9" s="3" t="s">
        <v>441</v>
      </c>
      <c r="C9" s="4">
        <f>$C8*(1-'06_Pricing'!$C$27)</f>
        <v>1876.9</v>
      </c>
      <c r="D9" s="4">
        <f>$D8*(1-'06_Pricing'!$C$27)</f>
        <v>7007.08</v>
      </c>
      <c r="E9" s="4">
        <f>$E8*(1-'06_Pricing'!$C$27)</f>
        <v>14014.16</v>
      </c>
      <c r="F9" s="4">
        <f>$F8*(1-'06_Pricing'!$C$27)</f>
        <v>24775.03</v>
      </c>
      <c r="G9" s="4">
        <f>$G8*(1-'06_Pricing'!$C$27)</f>
        <v>40040.45</v>
      </c>
    </row>
    <row r="10" spans="1:7" x14ac:dyDescent="0.25">
      <c r="A10" s="3" t="s">
        <v>29</v>
      </c>
      <c r="B10" s="3" t="s">
        <v>442</v>
      </c>
      <c r="C10" s="4">
        <f>'05_Payroll_Activity'!$C$7*'06_Pricing'!$C$29</f>
        <v>957.6</v>
      </c>
      <c r="D10" s="4">
        <f>'05_Payroll_Activity'!$D$7*'06_Pricing'!$C$29</f>
        <v>3575.04</v>
      </c>
      <c r="E10" s="4">
        <f>'05_Payroll_Activity'!$E$7*'06_Pricing'!$C$29</f>
        <v>7150.08</v>
      </c>
      <c r="F10" s="4">
        <f>'05_Payroll_Activity'!$F$7*'06_Pricing'!$C$29</f>
        <v>12640.32</v>
      </c>
      <c r="G10" s="4">
        <f>'05_Payroll_Activity'!$G$7*'06_Pricing'!$C$29</f>
        <v>20428.8</v>
      </c>
    </row>
    <row r="11" spans="1:7" x14ac:dyDescent="0.25">
      <c r="A11" s="3" t="s">
        <v>29</v>
      </c>
      <c r="B11" s="3" t="s">
        <v>432</v>
      </c>
      <c r="C11" s="4">
        <f>$C9-$C10</f>
        <v>919.3</v>
      </c>
      <c r="D11" s="4">
        <f>$D9-$D10</f>
        <v>3432.04</v>
      </c>
      <c r="E11" s="4">
        <f>$E9-$E10</f>
        <v>6864.08</v>
      </c>
      <c r="F11" s="4">
        <f>$F9-$F10</f>
        <v>12134.71</v>
      </c>
      <c r="G11" s="4">
        <f>$G9-$G10</f>
        <v>19611.65</v>
      </c>
    </row>
    <row r="12" spans="1:7" x14ac:dyDescent="0.25">
      <c r="A12" s="3" t="s">
        <v>60</v>
      </c>
      <c r="B12" s="3" t="s">
        <v>439</v>
      </c>
      <c r="C12" s="4">
        <f>'05_Payroll_Activity'!$C$10</f>
        <v>20122.3</v>
      </c>
      <c r="D12" s="4">
        <f>'05_Payroll_Activity'!$D$10</f>
        <v>61325.11</v>
      </c>
      <c r="E12" s="4">
        <f>'05_Payroll_Activity'!$E$10</f>
        <v>120733.8</v>
      </c>
      <c r="F12" s="4">
        <f>'05_Payroll_Activity'!$F$10</f>
        <v>201223.01</v>
      </c>
      <c r="G12" s="4">
        <f>'05_Payroll_Activity'!$G$10</f>
        <v>287461.44</v>
      </c>
    </row>
    <row r="13" spans="1:7" x14ac:dyDescent="0.25">
      <c r="A13" s="3" t="s">
        <v>60</v>
      </c>
      <c r="B13" s="3" t="s">
        <v>440</v>
      </c>
      <c r="C13" s="4">
        <f>'05_Payroll_Activity'!$C$10*'06_Pricing'!$C$42</f>
        <v>20122.3</v>
      </c>
      <c r="D13" s="4">
        <f>'05_Payroll_Activity'!$D$10*'06_Pricing'!$C$42</f>
        <v>61325.11</v>
      </c>
      <c r="E13" s="4">
        <f>'05_Payroll_Activity'!$E$10*'06_Pricing'!$C$42</f>
        <v>120733.8</v>
      </c>
      <c r="F13" s="4">
        <f>'05_Payroll_Activity'!$F$10*'06_Pricing'!$C$42</f>
        <v>201223.01</v>
      </c>
      <c r="G13" s="4">
        <f>'05_Payroll_Activity'!$G$10*'06_Pricing'!$C$42</f>
        <v>287461.44</v>
      </c>
    </row>
    <row r="14" spans="1:7" x14ac:dyDescent="0.25">
      <c r="A14" s="3" t="s">
        <v>60</v>
      </c>
      <c r="B14" s="3" t="s">
        <v>441</v>
      </c>
      <c r="C14" s="4">
        <f>$C13*(1-'06_Pricing'!$C$41)</f>
        <v>19921.08</v>
      </c>
      <c r="D14" s="4">
        <f>$D13*(1-'06_Pricing'!$C$41)</f>
        <v>60711.86</v>
      </c>
      <c r="E14" s="4">
        <f>$E13*(1-'06_Pricing'!$C$41)</f>
        <v>119526.47</v>
      </c>
      <c r="F14" s="4">
        <f>$F13*(1-'06_Pricing'!$C$41)</f>
        <v>199210.78</v>
      </c>
      <c r="G14" s="4">
        <f>$G13*(1-'06_Pricing'!$C$41)</f>
        <v>284586.83</v>
      </c>
    </row>
    <row r="15" spans="1:7" x14ac:dyDescent="0.25">
      <c r="A15" s="3" t="s">
        <v>60</v>
      </c>
      <c r="B15" s="3" t="s">
        <v>442</v>
      </c>
      <c r="C15" s="4">
        <f>'05_Payroll_Activity'!$C$10*'06_Pricing'!$C$43</f>
        <v>8048.92</v>
      </c>
      <c r="D15" s="4">
        <f>'05_Payroll_Activity'!$D$10*'06_Pricing'!$C$43</f>
        <v>24530.04</v>
      </c>
      <c r="E15" s="4">
        <f>'05_Payroll_Activity'!$E$10*'06_Pricing'!$C$43</f>
        <v>48293.52</v>
      </c>
      <c r="F15" s="4">
        <f>'05_Payroll_Activity'!$F$10*'06_Pricing'!$C$43</f>
        <v>80489.2</v>
      </c>
      <c r="G15" s="4">
        <f>'05_Payroll_Activity'!$G$10*'06_Pricing'!$C$43</f>
        <v>114984.58</v>
      </c>
    </row>
    <row r="16" spans="1:7" x14ac:dyDescent="0.25">
      <c r="A16" s="3" t="s">
        <v>60</v>
      </c>
      <c r="B16" s="3" t="s">
        <v>432</v>
      </c>
      <c r="C16" s="4">
        <f>$C14-$C15</f>
        <v>11872.16</v>
      </c>
      <c r="D16" s="4">
        <f>$D14-$D15</f>
        <v>36181.81</v>
      </c>
      <c r="E16" s="4">
        <f>$E14-$E15</f>
        <v>71232.94</v>
      </c>
      <c r="F16" s="4">
        <f>$F14-$F15</f>
        <v>118721.57</v>
      </c>
      <c r="G16" s="4">
        <f>$G14-$G15</f>
        <v>169602.25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4" customWidth="1"/>
    <col min="2" max="2" width="42" customWidth="1"/>
    <col min="3" max="7" width="12" customWidth="1"/>
  </cols>
  <sheetData>
    <row r="1" spans="1:7" s="1" customFormat="1" x14ac:dyDescent="0.25">
      <c r="A1" s="2" t="s">
        <v>227</v>
      </c>
      <c r="B1" s="2" t="s">
        <v>228</v>
      </c>
      <c r="C1" s="2" t="s">
        <v>33</v>
      </c>
      <c r="D1" s="2" t="s">
        <v>73</v>
      </c>
      <c r="E1" s="2" t="s">
        <v>74</v>
      </c>
      <c r="F1" s="2" t="s">
        <v>75</v>
      </c>
      <c r="G1" s="2" t="s">
        <v>76</v>
      </c>
    </row>
    <row r="2" spans="1:7" x14ac:dyDescent="0.25">
      <c r="A2" s="3" t="s">
        <v>59</v>
      </c>
      <c r="B2" s="3" t="s">
        <v>427</v>
      </c>
      <c r="C2" s="4">
        <f>'07_Revenue'!$C$5</f>
        <v>8547.2</v>
      </c>
      <c r="D2" s="4">
        <f>'07_Revenue'!$D$5</f>
        <v>20462.4</v>
      </c>
      <c r="E2" s="4">
        <f>'07_Revenue'!$E$5</f>
        <v>38745.6</v>
      </c>
      <c r="F2" s="4">
        <f>'07_Revenue'!$F$5</f>
        <v>57849.6</v>
      </c>
      <c r="G2" s="4">
        <f>'07_Revenue'!$G$5</f>
        <v>76132.8</v>
      </c>
    </row>
    <row r="3" spans="1:7" x14ac:dyDescent="0.25">
      <c r="A3" s="3" t="s">
        <v>59</v>
      </c>
      <c r="B3" s="3" t="s">
        <v>443</v>
      </c>
      <c r="C3" s="4">
        <f>'07_Revenue'!$C$5*(1-'06_Pricing'!$C$13)-('04_Adoption'!$C$2*'02_Assumptions'!$F$31+'04_Adoption'!$C$4*'04_Adoption'!$C$5*'02_Assumptions'!$F$30)</f>
        <v>-43880.16</v>
      </c>
      <c r="D3" s="4">
        <f>'07_Revenue'!$D$5*(1-'06_Pricing'!$C$13)-('04_Adoption'!$D$2*'02_Assumptions'!$F$31+'04_Adoption'!$D$4*'04_Adoption'!$D$5*'02_Assumptions'!$F$30)</f>
        <v>-94560.72</v>
      </c>
      <c r="E3" s="4">
        <f>'07_Revenue'!$E$5*(1-'06_Pricing'!$C$13)-('04_Adoption'!$E$2*'02_Assumptions'!$F$31+'04_Adoption'!$E$4*'04_Adoption'!$E$5*'02_Assumptions'!$F$30)</f>
        <v>-169191.68</v>
      </c>
      <c r="F3" s="4">
        <f>'07_Revenue'!$F$5*(1-'06_Pricing'!$C$13)-('04_Adoption'!$F$2*'02_Assumptions'!$F$31+'04_Adoption'!$F$4*'04_Adoption'!$F$5*'02_Assumptions'!$F$30)</f>
        <v>-241042.88</v>
      </c>
      <c r="G3" s="4">
        <f>'07_Revenue'!$G$5*(1-'06_Pricing'!$C$13)-('04_Adoption'!$G$2*'02_Assumptions'!$F$31+'04_Adoption'!$G$4*'04_Adoption'!$G$5*'02_Assumptions'!$F$30)</f>
        <v>-315673.84</v>
      </c>
    </row>
    <row r="4" spans="1:7" x14ac:dyDescent="0.25">
      <c r="A4" s="3" t="s">
        <v>59</v>
      </c>
      <c r="B4" s="3" t="s">
        <v>444</v>
      </c>
      <c r="C4" s="4">
        <f>'13_SMS_Variant'!$C$6</f>
        <v>8.28</v>
      </c>
      <c r="D4" s="4">
        <f>'13_SMS_Variant'!$D$6</f>
        <v>37.26</v>
      </c>
      <c r="E4" s="4">
        <f>'13_SMS_Variant'!$E$6</f>
        <v>86.94</v>
      </c>
      <c r="F4" s="4">
        <f>'13_SMS_Variant'!$F$6</f>
        <v>149.04</v>
      </c>
      <c r="G4" s="4">
        <f>'13_SMS_Variant'!$G$6</f>
        <v>198.72</v>
      </c>
    </row>
    <row r="5" spans="1:7" x14ac:dyDescent="0.25">
      <c r="A5" s="3" t="s">
        <v>59</v>
      </c>
      <c r="B5" s="3" t="s">
        <v>445</v>
      </c>
      <c r="C5" s="4">
        <f>$C3+$C4</f>
        <v>-43871.88</v>
      </c>
      <c r="D5" s="4">
        <f>$D3+$D4</f>
        <v>-94523.46</v>
      </c>
      <c r="E5" s="4">
        <f>$E3+$E4</f>
        <v>-169104.74</v>
      </c>
      <c r="F5" s="4">
        <f>$F3+$F4</f>
        <v>-240893.84</v>
      </c>
      <c r="G5" s="4">
        <f>$G3+$G4</f>
        <v>-315475.12</v>
      </c>
    </row>
    <row r="6" spans="1:7" x14ac:dyDescent="0.25">
      <c r="A6" s="3" t="s">
        <v>29</v>
      </c>
      <c r="B6" s="3" t="s">
        <v>427</v>
      </c>
      <c r="C6" s="4">
        <f>'07_Revenue'!$C$12</f>
        <v>111048</v>
      </c>
      <c r="D6" s="4">
        <f>'07_Revenue'!$D$12</f>
        <v>274579.2</v>
      </c>
      <c r="E6" s="4">
        <f>'07_Revenue'!$E$12</f>
        <v>477158.4</v>
      </c>
      <c r="F6" s="4">
        <f>'07_Revenue'!$F$12</f>
        <v>793833.6</v>
      </c>
      <c r="G6" s="4">
        <f>'07_Revenue'!$G$12</f>
        <v>1209024</v>
      </c>
    </row>
    <row r="7" spans="1:7" x14ac:dyDescent="0.25">
      <c r="A7" s="3" t="s">
        <v>29</v>
      </c>
      <c r="B7" s="3" t="s">
        <v>443</v>
      </c>
      <c r="C7" s="4">
        <f>'07_Revenue'!$C$12*(1-'06_Pricing'!$C$27)-('04_Adoption'!$C$8*'02_Assumptions'!$G$31+'04_Adoption'!$C$10*'04_Adoption'!$C$11*'02_Assumptions'!$G$30)</f>
        <v>-3672.96</v>
      </c>
      <c r="D7" s="4">
        <f>'07_Revenue'!$D$12*(1-'06_Pricing'!$C$27)-('04_Adoption'!$D$8*'02_Assumptions'!$G$31+'04_Adoption'!$D$10*'04_Adoption'!$D$11*'02_Assumptions'!$G$30)</f>
        <v>24087.62</v>
      </c>
      <c r="E7" s="4">
        <f>'07_Revenue'!$E$12*(1-'06_Pricing'!$C$27)-('04_Adoption'!$E$8*'02_Assumptions'!$G$31+'04_Adoption'!$E$10*'04_Adoption'!$E$11*'02_Assumptions'!$G$30)</f>
        <v>67615.23</v>
      </c>
      <c r="F7" s="4">
        <f>'07_Revenue'!$F$12*(1-'06_Pricing'!$C$27)-('04_Adoption'!$F$8*'02_Assumptions'!$G$31+'04_Adoption'!$F$10*'04_Adoption'!$F$11*'02_Assumptions'!$G$30)</f>
        <v>132956.93</v>
      </c>
      <c r="G7" s="4">
        <f>'07_Revenue'!$G$12*(1-'06_Pricing'!$C$27)-('04_Adoption'!$G$8*'02_Assumptions'!$G$31+'04_Adoption'!$G$10*'04_Adoption'!$G$11*'02_Assumptions'!$G$30)</f>
        <v>234843.52</v>
      </c>
    </row>
    <row r="8" spans="1:7" x14ac:dyDescent="0.25">
      <c r="A8" s="3" t="s">
        <v>29</v>
      </c>
      <c r="B8" s="3" t="s">
        <v>444</v>
      </c>
      <c r="C8" s="4">
        <f>'13_SMS_Variant'!$C$11</f>
        <v>919.3</v>
      </c>
      <c r="D8" s="4">
        <f>'13_SMS_Variant'!$D$11</f>
        <v>3432.04</v>
      </c>
      <c r="E8" s="4">
        <f>'13_SMS_Variant'!$E$11</f>
        <v>6864.08</v>
      </c>
      <c r="F8" s="4">
        <f>'13_SMS_Variant'!$F$11</f>
        <v>12134.71</v>
      </c>
      <c r="G8" s="4">
        <f>'13_SMS_Variant'!$G$11</f>
        <v>19611.65</v>
      </c>
    </row>
    <row r="9" spans="1:7" x14ac:dyDescent="0.25">
      <c r="A9" s="3" t="s">
        <v>29</v>
      </c>
      <c r="B9" s="3" t="s">
        <v>445</v>
      </c>
      <c r="C9" s="4">
        <f>$C7+$C8</f>
        <v>-2753.66</v>
      </c>
      <c r="D9" s="4">
        <f>$D7+$D8</f>
        <v>27519.65</v>
      </c>
      <c r="E9" s="4">
        <f>$E7+$E8</f>
        <v>74479.31</v>
      </c>
      <c r="F9" s="4">
        <f>$F7+$F8</f>
        <v>145091.64</v>
      </c>
      <c r="G9" s="4">
        <f>$G7+$G8</f>
        <v>254455.17</v>
      </c>
    </row>
    <row r="10" spans="1:7" x14ac:dyDescent="0.25">
      <c r="A10" s="3" t="s">
        <v>60</v>
      </c>
      <c r="B10" s="3" t="s">
        <v>427</v>
      </c>
      <c r="C10" s="4">
        <f>'07_Revenue'!$C$19</f>
        <v>674270.4</v>
      </c>
      <c r="D10" s="4">
        <f>'07_Revenue'!$D$19</f>
        <v>1500633.6</v>
      </c>
      <c r="E10" s="4">
        <f>'07_Revenue'!$E$19</f>
        <v>2695622.4</v>
      </c>
      <c r="F10" s="4">
        <f>'07_Revenue'!$F$19</f>
        <v>4282704</v>
      </c>
      <c r="G10" s="4">
        <f>'07_Revenue'!$G$19</f>
        <v>5946720</v>
      </c>
    </row>
    <row r="11" spans="1:7" x14ac:dyDescent="0.25">
      <c r="A11" s="3" t="s">
        <v>60</v>
      </c>
      <c r="B11" s="3" t="s">
        <v>443</v>
      </c>
      <c r="C11" s="4">
        <f>'07_Revenue'!$C$19*(1-'06_Pricing'!$C$41)-('04_Adoption'!$C$14*'02_Assumptions'!$H$31+'04_Adoption'!$C$16*'04_Adoption'!$C$17*'02_Assumptions'!$H$30)</f>
        <v>463527.7</v>
      </c>
      <c r="D11" s="4">
        <f>'07_Revenue'!$D$19*(1-'06_Pricing'!$C$41)-('04_Adoption'!$D$14*'02_Assumptions'!$H$31+'04_Adoption'!$D$16*'04_Adoption'!$D$17*'02_Assumptions'!$H$30)</f>
        <v>1085627.26</v>
      </c>
      <c r="E11" s="4">
        <f>'07_Revenue'!$E$19*(1-'06_Pricing'!$C$41)-('04_Adoption'!$E$14*'02_Assumptions'!$H$31+'04_Adoption'!$E$16*'04_Adoption'!$E$17*'02_Assumptions'!$H$30)</f>
        <v>1984666.18</v>
      </c>
      <c r="F11" s="4">
        <f>'07_Revenue'!$F$19*(1-'06_Pricing'!$C$41)-('04_Adoption'!$F$14*'02_Assumptions'!$H$31+'04_Adoption'!$F$16*'04_Adoption'!$F$17*'02_Assumptions'!$H$30)</f>
        <v>3183876.96</v>
      </c>
      <c r="G11" s="4">
        <f>'07_Revenue'!$G$19*(1-'06_Pricing'!$C$41)-('04_Adoption'!$G$14*'02_Assumptions'!$H$31+'04_Adoption'!$G$16*'04_Adoption'!$G$17*'02_Assumptions'!$H$30)</f>
        <v>4447252.8</v>
      </c>
    </row>
    <row r="12" spans="1:7" x14ac:dyDescent="0.25">
      <c r="A12" s="3" t="s">
        <v>60</v>
      </c>
      <c r="B12" s="3" t="s">
        <v>444</v>
      </c>
      <c r="C12" s="4">
        <f>'13_SMS_Variant'!$C$16</f>
        <v>11872.16</v>
      </c>
      <c r="D12" s="4">
        <f>'13_SMS_Variant'!$D$16</f>
        <v>36181.81</v>
      </c>
      <c r="E12" s="4">
        <f>'13_SMS_Variant'!$E$16</f>
        <v>71232.94</v>
      </c>
      <c r="F12" s="4">
        <f>'13_SMS_Variant'!$F$16</f>
        <v>118721.57</v>
      </c>
      <c r="G12" s="4">
        <f>'13_SMS_Variant'!$G$16</f>
        <v>169602.25</v>
      </c>
    </row>
    <row r="13" spans="1:7" x14ac:dyDescent="0.25">
      <c r="A13" s="3" t="s">
        <v>60</v>
      </c>
      <c r="B13" s="3" t="s">
        <v>445</v>
      </c>
      <c r="C13" s="4">
        <f>$C11+$C12</f>
        <v>475399.85</v>
      </c>
      <c r="D13" s="4">
        <f>$D11+$D12</f>
        <v>1121809.08</v>
      </c>
      <c r="E13" s="4">
        <f>$E11+$E12</f>
        <v>2055899.12</v>
      </c>
      <c r="F13" s="4">
        <f>$F11+$F12</f>
        <v>3302598.53</v>
      </c>
      <c r="G13" s="4">
        <f>$G11+$G12</f>
        <v>4616855.05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4" customWidth="1"/>
    <col min="2" max="2" width="42" customWidth="1"/>
    <col min="3" max="7" width="29" customWidth="1"/>
  </cols>
  <sheetData>
    <row r="1" spans="1:7" s="1" customFormat="1" x14ac:dyDescent="0.25">
      <c r="A1" s="2" t="s">
        <v>227</v>
      </c>
      <c r="B1" s="2" t="s">
        <v>228</v>
      </c>
      <c r="C1" s="2" t="s">
        <v>33</v>
      </c>
      <c r="D1" s="2" t="s">
        <v>73</v>
      </c>
      <c r="E1" s="2" t="s">
        <v>74</v>
      </c>
      <c r="F1" s="2" t="s">
        <v>75</v>
      </c>
      <c r="G1" s="2" t="s">
        <v>76</v>
      </c>
    </row>
    <row r="2" spans="1:7" x14ac:dyDescent="0.25">
      <c r="A2" s="3" t="s">
        <v>59</v>
      </c>
      <c r="B2" s="3" t="s">
        <v>446</v>
      </c>
      <c r="C2" s="4">
        <f>'07_Revenue'!$C$5*'02_Assumptions'!$F$36</f>
        <v>427.36</v>
      </c>
      <c r="D2" s="4">
        <f>'07_Revenue'!$D$5*'02_Assumptions'!$F$36</f>
        <v>1023.12</v>
      </c>
      <c r="E2" s="4">
        <f>'07_Revenue'!$E$5*'02_Assumptions'!$F$36</f>
        <v>1937.28</v>
      </c>
      <c r="F2" s="4">
        <f>'07_Revenue'!$F$5*'02_Assumptions'!$F$36</f>
        <v>2892.48</v>
      </c>
      <c r="G2" s="4">
        <f>'07_Revenue'!$G$5*'02_Assumptions'!$F$36</f>
        <v>3806.64</v>
      </c>
    </row>
    <row r="3" spans="1:7" x14ac:dyDescent="0.25">
      <c r="A3" s="3" t="s">
        <v>59</v>
      </c>
      <c r="B3" s="3" t="s">
        <v>442</v>
      </c>
      <c r="C3" s="4">
        <f>'13_SMS_Variant'!$C$5</f>
        <v>23.18</v>
      </c>
      <c r="D3" s="4">
        <f>'13_SMS_Variant'!$D$5</f>
        <v>104.33</v>
      </c>
      <c r="E3" s="4">
        <f>'13_SMS_Variant'!$E$5</f>
        <v>243.43</v>
      </c>
      <c r="F3" s="4">
        <f>'13_SMS_Variant'!$F$5</f>
        <v>417.31</v>
      </c>
      <c r="G3" s="4">
        <f>'13_SMS_Variant'!$G$5</f>
        <v>556.42</v>
      </c>
    </row>
    <row r="4" spans="1:7" x14ac:dyDescent="0.25">
      <c r="A4" s="3" t="s">
        <v>59</v>
      </c>
      <c r="B4" s="3" t="s">
        <v>447</v>
      </c>
      <c r="C4" s="3" t="s">
        <v>448</v>
      </c>
      <c r="D4" s="3" t="s">
        <v>448</v>
      </c>
      <c r="E4" s="3" t="s">
        <v>448</v>
      </c>
      <c r="F4" s="3" t="s">
        <v>448</v>
      </c>
      <c r="G4" s="3" t="s">
        <v>448</v>
      </c>
    </row>
    <row r="5" spans="1:7" x14ac:dyDescent="0.25">
      <c r="A5" s="3" t="s">
        <v>59</v>
      </c>
      <c r="B5" s="3" t="s">
        <v>449</v>
      </c>
      <c r="C5" s="3" t="s">
        <v>450</v>
      </c>
      <c r="D5" s="3" t="s">
        <v>450</v>
      </c>
      <c r="E5" s="3" t="s">
        <v>450</v>
      </c>
      <c r="F5" s="3" t="s">
        <v>450</v>
      </c>
      <c r="G5" s="3" t="s">
        <v>450</v>
      </c>
    </row>
    <row r="6" spans="1:7" x14ac:dyDescent="0.25">
      <c r="A6" s="3" t="s">
        <v>59</v>
      </c>
      <c r="B6" s="3" t="s">
        <v>451</v>
      </c>
      <c r="C6" s="3" t="s">
        <v>452</v>
      </c>
      <c r="D6" s="3" t="s">
        <v>452</v>
      </c>
      <c r="E6" s="3" t="s">
        <v>452</v>
      </c>
      <c r="F6" s="3" t="s">
        <v>452</v>
      </c>
      <c r="G6" s="3" t="s">
        <v>452</v>
      </c>
    </row>
    <row r="7" spans="1:7" x14ac:dyDescent="0.25">
      <c r="A7" s="3" t="s">
        <v>29</v>
      </c>
      <c r="B7" s="3" t="s">
        <v>446</v>
      </c>
      <c r="C7" s="4">
        <f>'07_Revenue'!$C$12*'02_Assumptions'!$G$36</f>
        <v>2220.96</v>
      </c>
      <c r="D7" s="4">
        <f>'07_Revenue'!$D$12*'02_Assumptions'!$G$36</f>
        <v>5491.58</v>
      </c>
      <c r="E7" s="4">
        <f>'07_Revenue'!$E$12*'02_Assumptions'!$G$36</f>
        <v>9543.17</v>
      </c>
      <c r="F7" s="4">
        <f>'07_Revenue'!$F$12*'02_Assumptions'!$G$36</f>
        <v>15876.67</v>
      </c>
      <c r="G7" s="4">
        <f>'07_Revenue'!$G$12*'02_Assumptions'!$G$36</f>
        <v>24180.48</v>
      </c>
    </row>
    <row r="8" spans="1:7" x14ac:dyDescent="0.25">
      <c r="A8" s="3" t="s">
        <v>29</v>
      </c>
      <c r="B8" s="3" t="s">
        <v>442</v>
      </c>
      <c r="C8" s="4">
        <f>'13_SMS_Variant'!$C$10</f>
        <v>957.6</v>
      </c>
      <c r="D8" s="4">
        <f>'13_SMS_Variant'!$D$10</f>
        <v>3575.04</v>
      </c>
      <c r="E8" s="4">
        <f>'13_SMS_Variant'!$E$10</f>
        <v>7150.08</v>
      </c>
      <c r="F8" s="4">
        <f>'13_SMS_Variant'!$F$10</f>
        <v>12640.32</v>
      </c>
      <c r="G8" s="4">
        <f>'13_SMS_Variant'!$G$10</f>
        <v>20428.8</v>
      </c>
    </row>
    <row r="9" spans="1:7" x14ac:dyDescent="0.25">
      <c r="A9" s="3" t="s">
        <v>29</v>
      </c>
      <c r="B9" s="3" t="s">
        <v>447</v>
      </c>
      <c r="C9" s="3" t="s">
        <v>448</v>
      </c>
      <c r="D9" s="3" t="s">
        <v>448</v>
      </c>
      <c r="E9" s="3" t="s">
        <v>448</v>
      </c>
      <c r="F9" s="3" t="s">
        <v>448</v>
      </c>
      <c r="G9" s="3" t="s">
        <v>448</v>
      </c>
    </row>
    <row r="10" spans="1:7" x14ac:dyDescent="0.25">
      <c r="A10" s="3" t="s">
        <v>29</v>
      </c>
      <c r="B10" s="3" t="s">
        <v>449</v>
      </c>
      <c r="C10" s="3" t="s">
        <v>450</v>
      </c>
      <c r="D10" s="3" t="s">
        <v>450</v>
      </c>
      <c r="E10" s="3" t="s">
        <v>450</v>
      </c>
      <c r="F10" s="3" t="s">
        <v>450</v>
      </c>
      <c r="G10" s="3" t="s">
        <v>450</v>
      </c>
    </row>
    <row r="11" spans="1:7" x14ac:dyDescent="0.25">
      <c r="A11" s="3" t="s">
        <v>29</v>
      </c>
      <c r="B11" s="3" t="s">
        <v>451</v>
      </c>
      <c r="C11" s="3" t="s">
        <v>452</v>
      </c>
      <c r="D11" s="3" t="s">
        <v>452</v>
      </c>
      <c r="E11" s="3" t="s">
        <v>452</v>
      </c>
      <c r="F11" s="3" t="s">
        <v>452</v>
      </c>
      <c r="G11" s="3" t="s">
        <v>452</v>
      </c>
    </row>
    <row r="12" spans="1:7" x14ac:dyDescent="0.25">
      <c r="A12" s="3" t="s">
        <v>60</v>
      </c>
      <c r="B12" s="3" t="s">
        <v>446</v>
      </c>
      <c r="C12" s="4">
        <f>'07_Revenue'!$C$19*'02_Assumptions'!$H$36</f>
        <v>6742.7</v>
      </c>
      <c r="D12" s="4">
        <f>'07_Revenue'!$D$19*'02_Assumptions'!$H$36</f>
        <v>15006.34</v>
      </c>
      <c r="E12" s="4">
        <f>'07_Revenue'!$E$19*'02_Assumptions'!$H$36</f>
        <v>26956.22</v>
      </c>
      <c r="F12" s="4">
        <f>'07_Revenue'!$F$19*'02_Assumptions'!$H$36</f>
        <v>42827.04</v>
      </c>
      <c r="G12" s="4">
        <f>'07_Revenue'!$G$19*'02_Assumptions'!$H$36</f>
        <v>59467.2</v>
      </c>
    </row>
    <row r="13" spans="1:7" x14ac:dyDescent="0.25">
      <c r="A13" s="3" t="s">
        <v>60</v>
      </c>
      <c r="B13" s="3" t="s">
        <v>442</v>
      </c>
      <c r="C13" s="4">
        <f>'13_SMS_Variant'!$C$15</f>
        <v>8048.92</v>
      </c>
      <c r="D13" s="4">
        <f>'13_SMS_Variant'!$D$15</f>
        <v>24530.04</v>
      </c>
      <c r="E13" s="4">
        <f>'13_SMS_Variant'!$E$15</f>
        <v>48293.52</v>
      </c>
      <c r="F13" s="4">
        <f>'13_SMS_Variant'!$F$15</f>
        <v>80489.2</v>
      </c>
      <c r="G13" s="4">
        <f>'13_SMS_Variant'!$G$15</f>
        <v>114984.58</v>
      </c>
    </row>
    <row r="14" spans="1:7" x14ac:dyDescent="0.25">
      <c r="A14" s="3" t="s">
        <v>60</v>
      </c>
      <c r="B14" s="3" t="s">
        <v>447</v>
      </c>
      <c r="C14" s="3" t="s">
        <v>448</v>
      </c>
      <c r="D14" s="3" t="s">
        <v>448</v>
      </c>
      <c r="E14" s="3" t="s">
        <v>448</v>
      </c>
      <c r="F14" s="3" t="s">
        <v>448</v>
      </c>
      <c r="G14" s="3" t="s">
        <v>448</v>
      </c>
    </row>
    <row r="15" spans="1:7" x14ac:dyDescent="0.25">
      <c r="A15" s="3" t="s">
        <v>60</v>
      </c>
      <c r="B15" s="3" t="s">
        <v>449</v>
      </c>
      <c r="C15" s="3" t="s">
        <v>450</v>
      </c>
      <c r="D15" s="3" t="s">
        <v>450</v>
      </c>
      <c r="E15" s="3" t="s">
        <v>450</v>
      </c>
      <c r="F15" s="3" t="s">
        <v>450</v>
      </c>
      <c r="G15" s="3" t="s">
        <v>450</v>
      </c>
    </row>
    <row r="16" spans="1:7" x14ac:dyDescent="0.25">
      <c r="A16" s="3" t="s">
        <v>60</v>
      </c>
      <c r="B16" s="3" t="s">
        <v>451</v>
      </c>
      <c r="C16" s="3" t="s">
        <v>452</v>
      </c>
      <c r="D16" s="3" t="s">
        <v>452</v>
      </c>
      <c r="E16" s="3" t="s">
        <v>452</v>
      </c>
      <c r="F16" s="3" t="s">
        <v>452</v>
      </c>
      <c r="G16" s="3" t="s">
        <v>452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4" customWidth="1"/>
    <col min="2" max="2" width="42" customWidth="1"/>
    <col min="3" max="7" width="18" customWidth="1"/>
  </cols>
  <sheetData>
    <row r="1" spans="1:7" s="1" customFormat="1" x14ac:dyDescent="0.25">
      <c r="A1" s="2" t="s">
        <v>227</v>
      </c>
      <c r="B1" s="2" t="s">
        <v>228</v>
      </c>
      <c r="C1" s="2" t="s">
        <v>33</v>
      </c>
      <c r="D1" s="2" t="s">
        <v>73</v>
      </c>
      <c r="E1" s="2" t="s">
        <v>74</v>
      </c>
      <c r="F1" s="2" t="s">
        <v>75</v>
      </c>
      <c r="G1" s="2" t="s">
        <v>76</v>
      </c>
    </row>
    <row r="2" spans="1:7" x14ac:dyDescent="0.25">
      <c r="A2" s="3" t="s">
        <v>59</v>
      </c>
      <c r="B2" s="3" t="s">
        <v>453</v>
      </c>
      <c r="C2" s="4">
        <f>'04_Adoption'!$C$2*'02_Assumptions'!$F$31</f>
        <v>40000</v>
      </c>
      <c r="D2" s="4">
        <f>'04_Adoption'!$D$2*'02_Assumptions'!$F$31</f>
        <v>60000</v>
      </c>
      <c r="E2" s="4">
        <f>'04_Adoption'!$E$2*'02_Assumptions'!$F$31</f>
        <v>80000</v>
      </c>
      <c r="F2" s="4">
        <f>'04_Adoption'!$F$2*'02_Assumptions'!$F$31</f>
        <v>80000</v>
      </c>
      <c r="G2" s="4">
        <f>'04_Adoption'!$G$2*'02_Assumptions'!$F$31</f>
        <v>100000</v>
      </c>
    </row>
    <row r="3" spans="1:7" x14ac:dyDescent="0.25">
      <c r="A3" s="3" t="s">
        <v>59</v>
      </c>
      <c r="B3" s="3" t="s">
        <v>454</v>
      </c>
      <c r="C3" s="4">
        <f>'04_Adoption'!$C$4*'04_Adoption'!$C$5*'02_Assumptions'!$F$30</f>
        <v>12000</v>
      </c>
      <c r="D3" s="4">
        <f>'04_Adoption'!$D$4*'04_Adoption'!$D$5*'02_Assumptions'!$F$30</f>
        <v>54000</v>
      </c>
      <c r="E3" s="4">
        <f>'04_Adoption'!$E$4*'04_Adoption'!$E$5*'02_Assumptions'!$F$30</f>
        <v>126000</v>
      </c>
      <c r="F3" s="4">
        <f>'04_Adoption'!$F$4*'04_Adoption'!$F$5*'02_Assumptions'!$F$30</f>
        <v>216000</v>
      </c>
      <c r="G3" s="4">
        <f>'04_Adoption'!$G$4*'04_Adoption'!$G$5*'02_Assumptions'!$F$30</f>
        <v>288000</v>
      </c>
    </row>
    <row r="4" spans="1:7" x14ac:dyDescent="0.25">
      <c r="A4" s="3" t="s">
        <v>59</v>
      </c>
      <c r="B4" s="3" t="s">
        <v>455</v>
      </c>
      <c r="C4" s="4">
        <f>$C2+$C3</f>
        <v>52000</v>
      </c>
      <c r="D4" s="4">
        <f>$D2+$D3</f>
        <v>114000</v>
      </c>
      <c r="E4" s="4">
        <f>$E2+$E3</f>
        <v>206000</v>
      </c>
      <c r="F4" s="4">
        <f>$F2+$F3</f>
        <v>296000</v>
      </c>
      <c r="G4" s="4">
        <f>$G2+$G3</f>
        <v>388000</v>
      </c>
    </row>
    <row r="5" spans="1:7" x14ac:dyDescent="0.25">
      <c r="A5" s="3" t="s">
        <v>59</v>
      </c>
      <c r="B5" s="3" t="s">
        <v>456</v>
      </c>
      <c r="C5" s="4">
        <f>'04_Adoption'!$C$4*'04_Adoption'!$C$5*'02_Assumptions'!$F$34</f>
        <v>32000</v>
      </c>
      <c r="D5" s="4">
        <f>'04_Adoption'!$D$4*'04_Adoption'!$D$5*'02_Assumptions'!$F$34</f>
        <v>144000</v>
      </c>
      <c r="E5" s="4">
        <f>'04_Adoption'!$E$4*'04_Adoption'!$E$5*'02_Assumptions'!$F$34</f>
        <v>336000</v>
      </c>
      <c r="F5" s="4">
        <f>'04_Adoption'!$F$4*'04_Adoption'!$F$5*'02_Assumptions'!$F$34</f>
        <v>576000</v>
      </c>
      <c r="G5" s="4">
        <f>'04_Adoption'!$G$4*'04_Adoption'!$G$5*'02_Assumptions'!$F$34</f>
        <v>768000</v>
      </c>
    </row>
    <row r="6" spans="1:7" x14ac:dyDescent="0.25">
      <c r="A6" s="3" t="s">
        <v>59</v>
      </c>
      <c r="B6" s="3" t="s">
        <v>457</v>
      </c>
      <c r="C6" s="4">
        <f>('04_Adoption'!$C$4*'04_Adoption'!$C$5*'02_Assumptions'!$F$25)/12</f>
        <v>20000</v>
      </c>
      <c r="D6" s="4">
        <f>('04_Adoption'!$D$4*'04_Adoption'!$D$5*'02_Assumptions'!$F$25)/12</f>
        <v>90000</v>
      </c>
      <c r="E6" s="4">
        <f>('04_Adoption'!$E$4*'04_Adoption'!$E$5*'02_Assumptions'!$F$25)/12</f>
        <v>210000</v>
      </c>
      <c r="F6" s="4">
        <f>('04_Adoption'!$F$4*'04_Adoption'!$F$5*'02_Assumptions'!$F$25)/12</f>
        <v>360000</v>
      </c>
      <c r="G6" s="4">
        <f>('04_Adoption'!$G$4*'04_Adoption'!$G$5*'02_Assumptions'!$F$25)/12</f>
        <v>480000</v>
      </c>
    </row>
    <row r="7" spans="1:7" x14ac:dyDescent="0.25">
      <c r="A7" s="3" t="s">
        <v>59</v>
      </c>
      <c r="B7" s="3" t="s">
        <v>458</v>
      </c>
      <c r="C7" s="4">
        <f>'04_Adoption'!$C$2*'02_Assumptions'!$F$32</f>
        <v>100000</v>
      </c>
      <c r="D7" s="4">
        <f>'04_Adoption'!$D$2*'02_Assumptions'!$F$32</f>
        <v>150000</v>
      </c>
      <c r="E7" s="4">
        <f>'04_Adoption'!$E$2*'02_Assumptions'!$F$32</f>
        <v>200000</v>
      </c>
      <c r="F7" s="4">
        <f>'04_Adoption'!$F$2*'02_Assumptions'!$F$32</f>
        <v>200000</v>
      </c>
      <c r="G7" s="4">
        <f>'04_Adoption'!$G$2*'02_Assumptions'!$F$32</f>
        <v>250000</v>
      </c>
    </row>
    <row r="8" spans="1:7" x14ac:dyDescent="0.25">
      <c r="A8" s="3" t="s">
        <v>59</v>
      </c>
      <c r="B8" s="3" t="s">
        <v>459</v>
      </c>
      <c r="C8" s="4">
        <f>'04_Adoption'!$C$4*'04_Adoption'!$C$5*'02_Assumptions'!$F$33</f>
        <v>40000</v>
      </c>
      <c r="D8" s="4">
        <f>'04_Adoption'!$D$4*'04_Adoption'!$D$5*'02_Assumptions'!$F$33</f>
        <v>180000</v>
      </c>
      <c r="E8" s="4">
        <f>'04_Adoption'!$E$4*'04_Adoption'!$E$5*'02_Assumptions'!$F$33</f>
        <v>420000</v>
      </c>
      <c r="F8" s="4">
        <f>'04_Adoption'!$F$4*'04_Adoption'!$F$5*'02_Assumptions'!$F$33</f>
        <v>720000</v>
      </c>
      <c r="G8" s="4">
        <f>'04_Adoption'!$G$4*'04_Adoption'!$G$5*'02_Assumptions'!$F$33</f>
        <v>960000</v>
      </c>
    </row>
    <row r="9" spans="1:7" x14ac:dyDescent="0.25">
      <c r="A9" s="3" t="s">
        <v>59</v>
      </c>
      <c r="B9" s="3" t="s">
        <v>302</v>
      </c>
      <c r="C9" s="4">
        <f>'04_Adoption'!$C$4*'04_Adoption'!$C$5*'02_Assumptions'!$F$35</f>
        <v>16000</v>
      </c>
      <c r="D9" s="4">
        <f>'04_Adoption'!$D$4*'04_Adoption'!$D$5*'02_Assumptions'!$F$35</f>
        <v>72000</v>
      </c>
      <c r="E9" s="4">
        <f>'04_Adoption'!$E$4*'04_Adoption'!$E$5*'02_Assumptions'!$F$35</f>
        <v>168000</v>
      </c>
      <c r="F9" s="4">
        <f>'04_Adoption'!$F$4*'04_Adoption'!$F$5*'02_Assumptions'!$F$35</f>
        <v>288000</v>
      </c>
      <c r="G9" s="4">
        <f>'04_Adoption'!$G$4*'04_Adoption'!$G$5*'02_Assumptions'!$F$35</f>
        <v>384000</v>
      </c>
    </row>
    <row r="10" spans="1:7" x14ac:dyDescent="0.25">
      <c r="A10" s="3" t="s">
        <v>59</v>
      </c>
      <c r="B10" s="3" t="s">
        <v>460</v>
      </c>
      <c r="C10" s="4">
        <f>$C6+$C7+$C8+$C9</f>
        <v>176000</v>
      </c>
      <c r="D10" s="4">
        <f>$D6+$D7+$D8+$D9</f>
        <v>492000</v>
      </c>
      <c r="E10" s="4">
        <f>$E6+$E7+$E8+$E9</f>
        <v>998000</v>
      </c>
      <c r="F10" s="4">
        <f>$F6+$F7+$F8+$F9</f>
        <v>1568000</v>
      </c>
      <c r="G10" s="4">
        <f>$G6+$G7+$G8+$G9</f>
        <v>2074000</v>
      </c>
    </row>
    <row r="11" spans="1:7" x14ac:dyDescent="0.25">
      <c r="A11" s="3" t="s">
        <v>59</v>
      </c>
      <c r="B11" s="3" t="s">
        <v>461</v>
      </c>
      <c r="C11" s="3" t="s">
        <v>462</v>
      </c>
      <c r="D11" s="3" t="s">
        <v>462</v>
      </c>
      <c r="E11" s="3" t="s">
        <v>462</v>
      </c>
      <c r="F11" s="3" t="s">
        <v>462</v>
      </c>
      <c r="G11" s="3" t="s">
        <v>462</v>
      </c>
    </row>
    <row r="12" spans="1:7" x14ac:dyDescent="0.25">
      <c r="A12" s="3" t="s">
        <v>29</v>
      </c>
      <c r="B12" s="3" t="s">
        <v>453</v>
      </c>
      <c r="C12" s="4">
        <f>'04_Adoption'!$C$8*'02_Assumptions'!$G$31</f>
        <v>75000</v>
      </c>
      <c r="D12" s="4">
        <f>'04_Adoption'!$D$8*'02_Assumptions'!$G$31</f>
        <v>105000</v>
      </c>
      <c r="E12" s="4">
        <f>'04_Adoption'!$E$8*'02_Assumptions'!$G$31</f>
        <v>120000</v>
      </c>
      <c r="F12" s="4">
        <f>'04_Adoption'!$F$8*'02_Assumptions'!$G$31</f>
        <v>150000</v>
      </c>
      <c r="G12" s="4">
        <f>'04_Adoption'!$G$8*'02_Assumptions'!$G$31</f>
        <v>150000</v>
      </c>
    </row>
    <row r="13" spans="1:7" x14ac:dyDescent="0.25">
      <c r="A13" s="3" t="s">
        <v>29</v>
      </c>
      <c r="B13" s="3" t="s">
        <v>454</v>
      </c>
      <c r="C13" s="4">
        <f>'04_Adoption'!$C$10*'04_Adoption'!$C$11*'02_Assumptions'!$G$30</f>
        <v>37500</v>
      </c>
      <c r="D13" s="4">
        <f>'04_Adoption'!$D$10*'04_Adoption'!$D$11*'02_Assumptions'!$G$30</f>
        <v>140000</v>
      </c>
      <c r="E13" s="4">
        <f>'04_Adoption'!$E$10*'04_Adoption'!$E$11*'02_Assumptions'!$G$30</f>
        <v>280000</v>
      </c>
      <c r="F13" s="4">
        <f>'04_Adoption'!$F$10*'04_Adoption'!$F$11*'02_Assumptions'!$G$30</f>
        <v>495000</v>
      </c>
      <c r="G13" s="4">
        <f>'04_Adoption'!$G$10*'04_Adoption'!$G$11*'02_Assumptions'!$G$30</f>
        <v>800000</v>
      </c>
    </row>
    <row r="14" spans="1:7" x14ac:dyDescent="0.25">
      <c r="A14" s="3" t="s">
        <v>29</v>
      </c>
      <c r="B14" s="3" t="s">
        <v>455</v>
      </c>
      <c r="C14" s="4">
        <f>$C12+$C13</f>
        <v>112500</v>
      </c>
      <c r="D14" s="4">
        <f>$D12+$D13</f>
        <v>245000</v>
      </c>
      <c r="E14" s="4">
        <f>$E12+$E13</f>
        <v>400000</v>
      </c>
      <c r="F14" s="4">
        <f>$F12+$F13</f>
        <v>645000</v>
      </c>
      <c r="G14" s="4">
        <f>$G12+$G13</f>
        <v>950000</v>
      </c>
    </row>
    <row r="15" spans="1:7" x14ac:dyDescent="0.25">
      <c r="A15" s="3" t="s">
        <v>29</v>
      </c>
      <c r="B15" s="3" t="s">
        <v>456</v>
      </c>
      <c r="C15" s="4">
        <f>'04_Adoption'!$C$10*'04_Adoption'!$C$11*'02_Assumptions'!$G$34</f>
        <v>90000</v>
      </c>
      <c r="D15" s="4">
        <f>'04_Adoption'!$D$10*'04_Adoption'!$D$11*'02_Assumptions'!$G$34</f>
        <v>336000</v>
      </c>
      <c r="E15" s="4">
        <f>'04_Adoption'!$E$10*'04_Adoption'!$E$11*'02_Assumptions'!$G$34</f>
        <v>672000</v>
      </c>
      <c r="F15" s="4">
        <f>'04_Adoption'!$F$10*'04_Adoption'!$F$11*'02_Assumptions'!$G$34</f>
        <v>1188000</v>
      </c>
      <c r="G15" s="4">
        <f>'04_Adoption'!$G$10*'04_Adoption'!$G$11*'02_Assumptions'!$G$34</f>
        <v>1920000</v>
      </c>
    </row>
    <row r="16" spans="1:7" x14ac:dyDescent="0.25">
      <c r="A16" s="3" t="s">
        <v>29</v>
      </c>
      <c r="B16" s="3" t="s">
        <v>457</v>
      </c>
      <c r="C16" s="4">
        <f>('04_Adoption'!$C$10*'04_Adoption'!$C$11*'02_Assumptions'!$G$25)/12</f>
        <v>75000</v>
      </c>
      <c r="D16" s="4">
        <f>('04_Adoption'!$D$10*'04_Adoption'!$D$11*'02_Assumptions'!$G$25)/12</f>
        <v>280000</v>
      </c>
      <c r="E16" s="4">
        <f>('04_Adoption'!$E$10*'04_Adoption'!$E$11*'02_Assumptions'!$G$25)/12</f>
        <v>560000</v>
      </c>
      <c r="F16" s="4">
        <f>('04_Adoption'!$F$10*'04_Adoption'!$F$11*'02_Assumptions'!$G$25)/12</f>
        <v>990000</v>
      </c>
      <c r="G16" s="4">
        <f>('04_Adoption'!$G$10*'04_Adoption'!$G$11*'02_Assumptions'!$G$25)/12</f>
        <v>1600000</v>
      </c>
    </row>
    <row r="17" spans="1:7" x14ac:dyDescent="0.25">
      <c r="A17" s="3" t="s">
        <v>29</v>
      </c>
      <c r="B17" s="3" t="s">
        <v>458</v>
      </c>
      <c r="C17" s="4">
        <f>'04_Adoption'!$C$8*'02_Assumptions'!$G$32</f>
        <v>250000</v>
      </c>
      <c r="D17" s="4">
        <f>'04_Adoption'!$D$8*'02_Assumptions'!$G$32</f>
        <v>350000</v>
      </c>
      <c r="E17" s="4">
        <f>'04_Adoption'!$E$8*'02_Assumptions'!$G$32</f>
        <v>400000</v>
      </c>
      <c r="F17" s="4">
        <f>'04_Adoption'!$F$8*'02_Assumptions'!$G$32</f>
        <v>500000</v>
      </c>
      <c r="G17" s="4">
        <f>'04_Adoption'!$G$8*'02_Assumptions'!$G$32</f>
        <v>500000</v>
      </c>
    </row>
    <row r="18" spans="1:7" x14ac:dyDescent="0.25">
      <c r="A18" s="3" t="s">
        <v>29</v>
      </c>
      <c r="B18" s="3" t="s">
        <v>459</v>
      </c>
      <c r="C18" s="4">
        <f>'04_Adoption'!$C$10*'04_Adoption'!$C$11*'02_Assumptions'!$G$33</f>
        <v>150000</v>
      </c>
      <c r="D18" s="4">
        <f>'04_Adoption'!$D$10*'04_Adoption'!$D$11*'02_Assumptions'!$G$33</f>
        <v>560000</v>
      </c>
      <c r="E18" s="4">
        <f>'04_Adoption'!$E$10*'04_Adoption'!$E$11*'02_Assumptions'!$G$33</f>
        <v>1120000</v>
      </c>
      <c r="F18" s="4">
        <f>'04_Adoption'!$F$10*'04_Adoption'!$F$11*'02_Assumptions'!$G$33</f>
        <v>1980000</v>
      </c>
      <c r="G18" s="4">
        <f>'04_Adoption'!$G$10*'04_Adoption'!$G$11*'02_Assumptions'!$G$33</f>
        <v>3200000</v>
      </c>
    </row>
    <row r="19" spans="1:7" x14ac:dyDescent="0.25">
      <c r="A19" s="3" t="s">
        <v>29</v>
      </c>
      <c r="B19" s="3" t="s">
        <v>302</v>
      </c>
      <c r="C19" s="4">
        <f>'04_Adoption'!$C$10*'04_Adoption'!$C$11*'02_Assumptions'!$G$35</f>
        <v>45000</v>
      </c>
      <c r="D19" s="4">
        <f>'04_Adoption'!$D$10*'04_Adoption'!$D$11*'02_Assumptions'!$G$35</f>
        <v>168000</v>
      </c>
      <c r="E19" s="4">
        <f>'04_Adoption'!$E$10*'04_Adoption'!$E$11*'02_Assumptions'!$G$35</f>
        <v>336000</v>
      </c>
      <c r="F19" s="4">
        <f>'04_Adoption'!$F$10*'04_Adoption'!$F$11*'02_Assumptions'!$G$35</f>
        <v>594000</v>
      </c>
      <c r="G19" s="4">
        <f>'04_Adoption'!$G$10*'04_Adoption'!$G$11*'02_Assumptions'!$G$35</f>
        <v>960000</v>
      </c>
    </row>
    <row r="20" spans="1:7" x14ac:dyDescent="0.25">
      <c r="A20" s="3" t="s">
        <v>29</v>
      </c>
      <c r="B20" s="3" t="s">
        <v>460</v>
      </c>
      <c r="C20" s="4">
        <f>$C16+$C17+$C18+$C19</f>
        <v>520000</v>
      </c>
      <c r="D20" s="4">
        <f>$D16+$D17+$D18+$D19</f>
        <v>1358000</v>
      </c>
      <c r="E20" s="4">
        <f>$E16+$E17+$E18+$E19</f>
        <v>2416000</v>
      </c>
      <c r="F20" s="4">
        <f>$F16+$F17+$F18+$F19</f>
        <v>4064000</v>
      </c>
      <c r="G20" s="4">
        <f>$G16+$G17+$G18+$G19</f>
        <v>6260000</v>
      </c>
    </row>
    <row r="21" spans="1:7" x14ac:dyDescent="0.25">
      <c r="A21" s="3" t="s">
        <v>29</v>
      </c>
      <c r="B21" s="3" t="s">
        <v>461</v>
      </c>
      <c r="C21" s="3" t="s">
        <v>462</v>
      </c>
      <c r="D21" s="3" t="s">
        <v>462</v>
      </c>
      <c r="E21" s="3" t="s">
        <v>462</v>
      </c>
      <c r="F21" s="3" t="s">
        <v>462</v>
      </c>
      <c r="G21" s="3" t="s">
        <v>462</v>
      </c>
    </row>
    <row r="22" spans="1:7" x14ac:dyDescent="0.25">
      <c r="A22" s="3" t="s">
        <v>60</v>
      </c>
      <c r="B22" s="3" t="s">
        <v>453</v>
      </c>
      <c r="C22" s="4">
        <f>'04_Adoption'!$C$14*'02_Assumptions'!$H$31</f>
        <v>120000</v>
      </c>
      <c r="D22" s="4">
        <f>'04_Adoption'!$D$14*'02_Assumptions'!$H$31</f>
        <v>144000</v>
      </c>
      <c r="E22" s="4">
        <f>'04_Adoption'!$E$14*'02_Assumptions'!$H$31</f>
        <v>180000</v>
      </c>
      <c r="F22" s="4">
        <f>'04_Adoption'!$F$14*'02_Assumptions'!$H$31</f>
        <v>216000</v>
      </c>
      <c r="G22" s="4">
        <f>'04_Adoption'!$G$14*'02_Assumptions'!$H$31</f>
        <v>240000</v>
      </c>
    </row>
    <row r="23" spans="1:7" x14ac:dyDescent="0.25">
      <c r="A23" s="3" t="s">
        <v>60</v>
      </c>
      <c r="B23" s="3" t="s">
        <v>454</v>
      </c>
      <c r="C23" s="4">
        <f>'04_Adoption'!$C$16*'04_Adoption'!$C$17*'02_Assumptions'!$H$30</f>
        <v>84000</v>
      </c>
      <c r="D23" s="4">
        <f>'04_Adoption'!$D$16*'04_Adoption'!$D$17*'02_Assumptions'!$H$30</f>
        <v>256000</v>
      </c>
      <c r="E23" s="4">
        <f>'04_Adoption'!$E$16*'04_Adoption'!$E$17*'02_Assumptions'!$H$30</f>
        <v>504000</v>
      </c>
      <c r="F23" s="4">
        <f>'04_Adoption'!$F$16*'04_Adoption'!$F$17*'02_Assumptions'!$H$30</f>
        <v>840000</v>
      </c>
      <c r="G23" s="4">
        <f>'04_Adoption'!$G$16*'04_Adoption'!$G$17*'02_Assumptions'!$H$30</f>
        <v>1200000</v>
      </c>
    </row>
    <row r="24" spans="1:7" x14ac:dyDescent="0.25">
      <c r="A24" s="3" t="s">
        <v>60</v>
      </c>
      <c r="B24" s="3" t="s">
        <v>455</v>
      </c>
      <c r="C24" s="4">
        <f>$C22+$C23</f>
        <v>204000</v>
      </c>
      <c r="D24" s="4">
        <f>$D22+$D23</f>
        <v>400000</v>
      </c>
      <c r="E24" s="4">
        <f>$E22+$E23</f>
        <v>684000</v>
      </c>
      <c r="F24" s="4">
        <f>$F22+$F23</f>
        <v>1056000</v>
      </c>
      <c r="G24" s="4">
        <f>$G22+$G23</f>
        <v>1440000</v>
      </c>
    </row>
    <row r="25" spans="1:7" x14ac:dyDescent="0.25">
      <c r="A25" s="3" t="s">
        <v>60</v>
      </c>
      <c r="B25" s="3" t="s">
        <v>456</v>
      </c>
      <c r="C25" s="4">
        <f>'04_Adoption'!$C$16*'04_Adoption'!$C$17*'02_Assumptions'!$H$34</f>
        <v>210000</v>
      </c>
      <c r="D25" s="4">
        <f>'04_Adoption'!$D$16*'04_Adoption'!$D$17*'02_Assumptions'!$H$34</f>
        <v>640000</v>
      </c>
      <c r="E25" s="4">
        <f>'04_Adoption'!$E$16*'04_Adoption'!$E$17*'02_Assumptions'!$H$34</f>
        <v>1260000</v>
      </c>
      <c r="F25" s="4">
        <f>'04_Adoption'!$F$16*'04_Adoption'!$F$17*'02_Assumptions'!$H$34</f>
        <v>2100000</v>
      </c>
      <c r="G25" s="4">
        <f>'04_Adoption'!$G$16*'04_Adoption'!$G$17*'02_Assumptions'!$H$34</f>
        <v>3000000</v>
      </c>
    </row>
    <row r="26" spans="1:7" x14ac:dyDescent="0.25">
      <c r="A26" s="3" t="s">
        <v>60</v>
      </c>
      <c r="B26" s="3" t="s">
        <v>457</v>
      </c>
      <c r="C26" s="4">
        <f>('04_Adoption'!$C$16*'04_Adoption'!$C$17*'02_Assumptions'!$H$25)/12</f>
        <v>210000</v>
      </c>
      <c r="D26" s="4">
        <f>('04_Adoption'!$D$16*'04_Adoption'!$D$17*'02_Assumptions'!$H$25)/12</f>
        <v>640000</v>
      </c>
      <c r="E26" s="4">
        <f>('04_Adoption'!$E$16*'04_Adoption'!$E$17*'02_Assumptions'!$H$25)/12</f>
        <v>1260000</v>
      </c>
      <c r="F26" s="4">
        <f>('04_Adoption'!$F$16*'04_Adoption'!$F$17*'02_Assumptions'!$H$25)/12</f>
        <v>2100000</v>
      </c>
      <c r="G26" s="4">
        <f>('04_Adoption'!$G$16*'04_Adoption'!$G$17*'02_Assumptions'!$H$25)/12</f>
        <v>3000000</v>
      </c>
    </row>
    <row r="27" spans="1:7" x14ac:dyDescent="0.25">
      <c r="A27" s="3" t="s">
        <v>60</v>
      </c>
      <c r="B27" s="3" t="s">
        <v>458</v>
      </c>
      <c r="C27" s="4">
        <f>'04_Adoption'!$C$14*'02_Assumptions'!$H$32</f>
        <v>500000</v>
      </c>
      <c r="D27" s="4">
        <f>'04_Adoption'!$D$14*'02_Assumptions'!$H$32</f>
        <v>600000</v>
      </c>
      <c r="E27" s="4">
        <f>'04_Adoption'!$E$14*'02_Assumptions'!$H$32</f>
        <v>750000</v>
      </c>
      <c r="F27" s="4">
        <f>'04_Adoption'!$F$14*'02_Assumptions'!$H$32</f>
        <v>900000</v>
      </c>
      <c r="G27" s="4">
        <f>'04_Adoption'!$G$14*'02_Assumptions'!$H$32</f>
        <v>1000000</v>
      </c>
    </row>
    <row r="28" spans="1:7" x14ac:dyDescent="0.25">
      <c r="A28" s="3" t="s">
        <v>60</v>
      </c>
      <c r="B28" s="3" t="s">
        <v>459</v>
      </c>
      <c r="C28" s="4">
        <f>'04_Adoption'!$C$16*'04_Adoption'!$C$17*'02_Assumptions'!$H$33</f>
        <v>420000</v>
      </c>
      <c r="D28" s="4">
        <f>'04_Adoption'!$D$16*'04_Adoption'!$D$17*'02_Assumptions'!$H$33</f>
        <v>1280000</v>
      </c>
      <c r="E28" s="4">
        <f>'04_Adoption'!$E$16*'04_Adoption'!$E$17*'02_Assumptions'!$H$33</f>
        <v>2520000</v>
      </c>
      <c r="F28" s="4">
        <f>'04_Adoption'!$F$16*'04_Adoption'!$F$17*'02_Assumptions'!$H$33</f>
        <v>4200000</v>
      </c>
      <c r="G28" s="4">
        <f>'04_Adoption'!$G$16*'04_Adoption'!$G$17*'02_Assumptions'!$H$33</f>
        <v>6000000</v>
      </c>
    </row>
    <row r="29" spans="1:7" x14ac:dyDescent="0.25">
      <c r="A29" s="3" t="s">
        <v>60</v>
      </c>
      <c r="B29" s="3" t="s">
        <v>302</v>
      </c>
      <c r="C29" s="4">
        <f>'04_Adoption'!$C$16*'04_Adoption'!$C$17*'02_Assumptions'!$H$35</f>
        <v>105000</v>
      </c>
      <c r="D29" s="4">
        <f>'04_Adoption'!$D$16*'04_Adoption'!$D$17*'02_Assumptions'!$H$35</f>
        <v>320000</v>
      </c>
      <c r="E29" s="4">
        <f>'04_Adoption'!$E$16*'04_Adoption'!$E$17*'02_Assumptions'!$H$35</f>
        <v>630000</v>
      </c>
      <c r="F29" s="4">
        <f>'04_Adoption'!$F$16*'04_Adoption'!$F$17*'02_Assumptions'!$H$35</f>
        <v>1050000</v>
      </c>
      <c r="G29" s="4">
        <f>'04_Adoption'!$G$16*'04_Adoption'!$G$17*'02_Assumptions'!$H$35</f>
        <v>1500000</v>
      </c>
    </row>
    <row r="30" spans="1:7" x14ac:dyDescent="0.25">
      <c r="A30" s="3" t="s">
        <v>60</v>
      </c>
      <c r="B30" s="3" t="s">
        <v>460</v>
      </c>
      <c r="C30" s="4">
        <f>$C26+$C27+$C28+$C29</f>
        <v>1235000</v>
      </c>
      <c r="D30" s="4">
        <f>$D26+$D27+$D28+$D29</f>
        <v>2840000</v>
      </c>
      <c r="E30" s="4">
        <f>$E26+$E27+$E28+$E29</f>
        <v>5160000</v>
      </c>
      <c r="F30" s="4">
        <f>$F26+$F27+$F28+$F29</f>
        <v>8250000</v>
      </c>
      <c r="G30" s="4">
        <f>$G26+$G27+$G28+$G29</f>
        <v>11500000</v>
      </c>
    </row>
    <row r="31" spans="1:7" x14ac:dyDescent="0.25">
      <c r="A31" s="3" t="s">
        <v>60</v>
      </c>
      <c r="B31" s="3" t="s">
        <v>461</v>
      </c>
      <c r="C31" s="3" t="s">
        <v>462</v>
      </c>
      <c r="D31" s="3" t="s">
        <v>462</v>
      </c>
      <c r="E31" s="3" t="s">
        <v>462</v>
      </c>
      <c r="F31" s="3" t="s">
        <v>462</v>
      </c>
      <c r="G31" s="3" t="s">
        <v>462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4" customWidth="1"/>
    <col min="2" max="7" width="42" customWidth="1"/>
  </cols>
  <sheetData>
    <row r="1" spans="1:7" s="1" customFormat="1" x14ac:dyDescent="0.25">
      <c r="A1" s="2" t="s">
        <v>227</v>
      </c>
      <c r="B1" s="2" t="s">
        <v>228</v>
      </c>
      <c r="C1" s="2" t="s">
        <v>33</v>
      </c>
      <c r="D1" s="2" t="s">
        <v>73</v>
      </c>
      <c r="E1" s="2" t="s">
        <v>74</v>
      </c>
      <c r="F1" s="2" t="s">
        <v>75</v>
      </c>
      <c r="G1" s="2" t="s">
        <v>76</v>
      </c>
    </row>
    <row r="2" spans="1:7" x14ac:dyDescent="0.25">
      <c r="A2" s="3" t="s">
        <v>59</v>
      </c>
      <c r="B2" s="3" t="s">
        <v>463</v>
      </c>
      <c r="C2" s="4">
        <f>'10_Rural_Bank_View'!$C$2</f>
        <v>3703.94</v>
      </c>
      <c r="D2" s="4">
        <f>'10_Rural_Bank_View'!$D$2</f>
        <v>9827.71</v>
      </c>
      <c r="E2" s="4">
        <f>'10_Rural_Bank_View'!$E$2</f>
        <v>19511.33</v>
      </c>
      <c r="F2" s="4">
        <f>'10_Rural_Bank_View'!$F$2</f>
        <v>30190.85</v>
      </c>
      <c r="G2" s="4">
        <f>'10_Rural_Bank_View'!$G$2</f>
        <v>39874.46</v>
      </c>
    </row>
    <row r="3" spans="1:7" x14ac:dyDescent="0.25">
      <c r="A3" s="3" t="s">
        <v>59</v>
      </c>
      <c r="B3" s="3" t="s">
        <v>464</v>
      </c>
      <c r="C3" s="4">
        <f>'10_Rural_Bank_View'!$C$4</f>
        <v>3703.94</v>
      </c>
      <c r="D3" s="4">
        <f>'10_Rural_Bank_View'!$D$4</f>
        <v>9827.71</v>
      </c>
      <c r="E3" s="4">
        <f>'10_Rural_Bank_View'!$E$4</f>
        <v>19511.33</v>
      </c>
      <c r="F3" s="4">
        <f>'10_Rural_Bank_View'!$F$4</f>
        <v>30190.85</v>
      </c>
      <c r="G3" s="4">
        <f>'10_Rural_Bank_View'!$G$4</f>
        <v>39874.46</v>
      </c>
    </row>
    <row r="4" spans="1:7" x14ac:dyDescent="0.25">
      <c r="A4" s="3" t="s">
        <v>59</v>
      </c>
      <c r="B4" s="3" t="s">
        <v>306</v>
      </c>
      <c r="C4" s="3" t="s">
        <v>462</v>
      </c>
      <c r="D4" s="3" t="s">
        <v>462</v>
      </c>
      <c r="E4" s="3" t="s">
        <v>462</v>
      </c>
      <c r="F4" s="3" t="s">
        <v>462</v>
      </c>
      <c r="G4" s="3" t="s">
        <v>462</v>
      </c>
    </row>
    <row r="5" spans="1:7" x14ac:dyDescent="0.25">
      <c r="A5" s="3" t="s">
        <v>59</v>
      </c>
      <c r="B5" s="3" t="s">
        <v>465</v>
      </c>
      <c r="C5" s="4">
        <f>'11_ODTI_View'!$C$2</f>
        <v>124415.9</v>
      </c>
      <c r="D5" s="4">
        <f>'11_ODTI_View'!$D$2</f>
        <v>249611.57</v>
      </c>
      <c r="E5" s="4">
        <f>'11_ODTI_View'!$E$2</f>
        <v>427296.99</v>
      </c>
      <c r="F5" s="4">
        <f>'11_ODTI_View'!$F$2</f>
        <v>584766.27</v>
      </c>
      <c r="G5" s="4">
        <f>'11_ODTI_View'!$G$2</f>
        <v>762451.7</v>
      </c>
    </row>
    <row r="6" spans="1:7" x14ac:dyDescent="0.25">
      <c r="A6" s="3" t="s">
        <v>59</v>
      </c>
      <c r="B6" s="3" t="s">
        <v>466</v>
      </c>
      <c r="C6" s="4">
        <f>'09_Operating_Expenses'!$C$4</f>
        <v>52000</v>
      </c>
      <c r="D6" s="4">
        <f>'09_Operating_Expenses'!$D$4</f>
        <v>114000</v>
      </c>
      <c r="E6" s="4">
        <f>'09_Operating_Expenses'!$E$4</f>
        <v>206000</v>
      </c>
      <c r="F6" s="4">
        <f>'09_Operating_Expenses'!$F$4</f>
        <v>296000</v>
      </c>
      <c r="G6" s="4">
        <f>'09_Operating_Expenses'!$G$4</f>
        <v>388000</v>
      </c>
    </row>
    <row r="7" spans="1:7" x14ac:dyDescent="0.25">
      <c r="A7" s="3" t="s">
        <v>59</v>
      </c>
      <c r="B7" s="3" t="s">
        <v>467</v>
      </c>
      <c r="C7" s="4">
        <f>'11_ODTI_View'!$C$3</f>
        <v>72415.9</v>
      </c>
      <c r="D7" s="4">
        <f>'11_ODTI_View'!$D$3</f>
        <v>135611.57</v>
      </c>
      <c r="E7" s="4">
        <f>'11_ODTI_View'!$E$3</f>
        <v>221296.99</v>
      </c>
      <c r="F7" s="4">
        <f>'11_ODTI_View'!$F$3</f>
        <v>288766.27</v>
      </c>
      <c r="G7" s="4">
        <f>'11_ODTI_View'!$G$3</f>
        <v>374451.7</v>
      </c>
    </row>
    <row r="8" spans="1:7" x14ac:dyDescent="0.25">
      <c r="A8" s="3" t="s">
        <v>59</v>
      </c>
      <c r="B8" s="3" t="s">
        <v>437</v>
      </c>
      <c r="C8" s="4">
        <f>'12_DevOps_View'!$C$2</f>
        <v>140000</v>
      </c>
      <c r="D8" s="4">
        <f>'12_DevOps_View'!$D$2</f>
        <v>330000</v>
      </c>
      <c r="E8" s="4">
        <f>'12_DevOps_View'!$E$2</f>
        <v>620000</v>
      </c>
      <c r="F8" s="4">
        <f>'12_DevOps_View'!$F$2</f>
        <v>920000</v>
      </c>
      <c r="G8" s="4">
        <f>'12_DevOps_View'!$G$2</f>
        <v>1210000</v>
      </c>
    </row>
    <row r="9" spans="1:7" x14ac:dyDescent="0.25">
      <c r="A9" s="3" t="s">
        <v>59</v>
      </c>
      <c r="B9" s="3" t="s">
        <v>468</v>
      </c>
      <c r="C9" s="4">
        <f>'09_Operating_Expenses'!$C$5</f>
        <v>32000</v>
      </c>
      <c r="D9" s="4">
        <f>'09_Operating_Expenses'!$D$5</f>
        <v>144000</v>
      </c>
      <c r="E9" s="4">
        <f>'09_Operating_Expenses'!$E$5</f>
        <v>336000</v>
      </c>
      <c r="F9" s="4">
        <f>'09_Operating_Expenses'!$F$5</f>
        <v>576000</v>
      </c>
      <c r="G9" s="4">
        <f>'09_Operating_Expenses'!$G$5</f>
        <v>768000</v>
      </c>
    </row>
    <row r="10" spans="1:7" x14ac:dyDescent="0.25">
      <c r="A10" s="3" t="s">
        <v>59</v>
      </c>
      <c r="B10" s="3" t="s">
        <v>438</v>
      </c>
      <c r="C10" s="4">
        <f>'12_DevOps_View'!$C$3</f>
        <v>108000</v>
      </c>
      <c r="D10" s="4">
        <f>'12_DevOps_View'!$D$3</f>
        <v>186000</v>
      </c>
      <c r="E10" s="4">
        <f>'12_DevOps_View'!$E$3</f>
        <v>284000</v>
      </c>
      <c r="F10" s="4">
        <f>'12_DevOps_View'!$F$3</f>
        <v>344000</v>
      </c>
      <c r="G10" s="4">
        <f>'12_DevOps_View'!$G$3</f>
        <v>442000</v>
      </c>
    </row>
    <row r="11" spans="1:7" x14ac:dyDescent="0.25">
      <c r="A11" s="3" t="s">
        <v>59</v>
      </c>
      <c r="B11" s="3" t="s">
        <v>469</v>
      </c>
      <c r="C11" s="4">
        <f>'14_Consolidated_View'!$C$2</f>
        <v>8547.2</v>
      </c>
      <c r="D11" s="4">
        <f>'14_Consolidated_View'!$D$2</f>
        <v>20462.4</v>
      </c>
      <c r="E11" s="4">
        <f>'14_Consolidated_View'!$E$2</f>
        <v>38745.6</v>
      </c>
      <c r="F11" s="4">
        <f>'14_Consolidated_View'!$F$2</f>
        <v>57849.6</v>
      </c>
      <c r="G11" s="4">
        <f>'14_Consolidated_View'!$G$2</f>
        <v>76132.8</v>
      </c>
    </row>
    <row r="12" spans="1:7" x14ac:dyDescent="0.25">
      <c r="A12" s="3" t="s">
        <v>59</v>
      </c>
      <c r="B12" s="3" t="s">
        <v>470</v>
      </c>
      <c r="C12" s="4">
        <f>'14_Consolidated_View'!$C$3</f>
        <v>-43880.16</v>
      </c>
      <c r="D12" s="4">
        <f>'14_Consolidated_View'!$D$3</f>
        <v>-94560.72</v>
      </c>
      <c r="E12" s="4">
        <f>'14_Consolidated_View'!$E$3</f>
        <v>-169191.68</v>
      </c>
      <c r="F12" s="4">
        <f>'14_Consolidated_View'!$F$3</f>
        <v>-241042.88</v>
      </c>
      <c r="G12" s="4">
        <f>'14_Consolidated_View'!$G$3</f>
        <v>-315673.84</v>
      </c>
    </row>
    <row r="13" spans="1:7" x14ac:dyDescent="0.25">
      <c r="A13" s="3" t="s">
        <v>59</v>
      </c>
      <c r="B13" s="3" t="s">
        <v>309</v>
      </c>
      <c r="C13" s="3" t="s">
        <v>452</v>
      </c>
      <c r="D13" s="3" t="s">
        <v>452</v>
      </c>
      <c r="E13" s="3" t="s">
        <v>452</v>
      </c>
      <c r="F13" s="3" t="s">
        <v>452</v>
      </c>
      <c r="G13" s="3" t="s">
        <v>452</v>
      </c>
    </row>
    <row r="14" spans="1:7" x14ac:dyDescent="0.25">
      <c r="A14" s="3" t="s">
        <v>59</v>
      </c>
      <c r="B14" s="3" t="s">
        <v>471</v>
      </c>
      <c r="C14" s="3" t="s">
        <v>472</v>
      </c>
      <c r="D14" s="3" t="s">
        <v>472</v>
      </c>
      <c r="E14" s="3" t="s">
        <v>472</v>
      </c>
      <c r="F14" s="3" t="s">
        <v>472</v>
      </c>
      <c r="G14" s="3" t="s">
        <v>472</v>
      </c>
    </row>
    <row r="15" spans="1:7" x14ac:dyDescent="0.25">
      <c r="A15" s="3" t="s">
        <v>29</v>
      </c>
      <c r="B15" s="3" t="s">
        <v>463</v>
      </c>
      <c r="C15" s="4">
        <f>'10_Rural_Bank_View'!$C$5</f>
        <v>51955.68</v>
      </c>
      <c r="D15" s="4">
        <f>'10_Rural_Bank_View'!$D$5</f>
        <v>139087.87</v>
      </c>
      <c r="E15" s="4">
        <f>'10_Rural_Bank_View'!$E$5</f>
        <v>249951.74</v>
      </c>
      <c r="F15" s="4">
        <f>'10_Rural_Bank_View'!$F$5</f>
        <v>422390.98</v>
      </c>
      <c r="G15" s="4">
        <f>'10_Rural_Bank_View'!$G$5</f>
        <v>653667.84</v>
      </c>
    </row>
    <row r="16" spans="1:7" x14ac:dyDescent="0.25">
      <c r="A16" s="3" t="s">
        <v>29</v>
      </c>
      <c r="B16" s="3" t="s">
        <v>464</v>
      </c>
      <c r="C16" s="4">
        <f>'10_Rural_Bank_View'!$C$7</f>
        <v>51955.68</v>
      </c>
      <c r="D16" s="4">
        <f>'10_Rural_Bank_View'!$D$7</f>
        <v>139087.87</v>
      </c>
      <c r="E16" s="4">
        <f>'10_Rural_Bank_View'!$E$7</f>
        <v>249951.74</v>
      </c>
      <c r="F16" s="4">
        <f>'10_Rural_Bank_View'!$F$7</f>
        <v>422390.98</v>
      </c>
      <c r="G16" s="4">
        <f>'10_Rural_Bank_View'!$G$7</f>
        <v>653667.84</v>
      </c>
    </row>
    <row r="17" spans="1:7" x14ac:dyDescent="0.25">
      <c r="A17" s="3" t="s">
        <v>29</v>
      </c>
      <c r="B17" s="3" t="s">
        <v>306</v>
      </c>
      <c r="C17" s="3" t="s">
        <v>462</v>
      </c>
      <c r="D17" s="3" t="s">
        <v>462</v>
      </c>
      <c r="E17" s="3" t="s">
        <v>462</v>
      </c>
      <c r="F17" s="3" t="s">
        <v>462</v>
      </c>
      <c r="G17" s="3" t="s">
        <v>462</v>
      </c>
    </row>
    <row r="18" spans="1:7" x14ac:dyDescent="0.25">
      <c r="A18" s="3" t="s">
        <v>29</v>
      </c>
      <c r="B18" s="3" t="s">
        <v>465</v>
      </c>
      <c r="C18" s="4">
        <f>'11_ODTI_View'!$C$5</f>
        <v>381871.36</v>
      </c>
      <c r="D18" s="4">
        <f>'11_ODTI_View'!$D$5</f>
        <v>759999.74</v>
      </c>
      <c r="E18" s="4">
        <f>'11_ODTI_View'!$E$5</f>
        <v>1177663.49</v>
      </c>
      <c r="F18" s="4">
        <f>'11_ODTI_View'!$F$5</f>
        <v>1845565.95</v>
      </c>
      <c r="G18" s="4">
        <f>'11_ODTI_View'!$G$5</f>
        <v>2631175.68</v>
      </c>
    </row>
    <row r="19" spans="1:7" x14ac:dyDescent="0.25">
      <c r="A19" s="3" t="s">
        <v>29</v>
      </c>
      <c r="B19" s="3" t="s">
        <v>466</v>
      </c>
      <c r="C19" s="4">
        <f>'09_Operating_Expenses'!$C$14</f>
        <v>112500</v>
      </c>
      <c r="D19" s="4">
        <f>'09_Operating_Expenses'!$D$14</f>
        <v>245000</v>
      </c>
      <c r="E19" s="4">
        <f>'09_Operating_Expenses'!$E$14</f>
        <v>400000</v>
      </c>
      <c r="F19" s="4">
        <f>'09_Operating_Expenses'!$F$14</f>
        <v>645000</v>
      </c>
      <c r="G19" s="4">
        <f>'09_Operating_Expenses'!$G$14</f>
        <v>950000</v>
      </c>
    </row>
    <row r="20" spans="1:7" x14ac:dyDescent="0.25">
      <c r="A20" s="3" t="s">
        <v>29</v>
      </c>
      <c r="B20" s="3" t="s">
        <v>467</v>
      </c>
      <c r="C20" s="4">
        <f>'11_ODTI_View'!$C$6</f>
        <v>269371.36</v>
      </c>
      <c r="D20" s="4">
        <f>'11_ODTI_View'!$D$6</f>
        <v>514999.74</v>
      </c>
      <c r="E20" s="4">
        <f>'11_ODTI_View'!$E$6</f>
        <v>777663.49</v>
      </c>
      <c r="F20" s="4">
        <f>'11_ODTI_View'!$F$6</f>
        <v>1200565.95</v>
      </c>
      <c r="G20" s="4">
        <f>'11_ODTI_View'!$G$6</f>
        <v>1681175.68</v>
      </c>
    </row>
    <row r="21" spans="1:7" x14ac:dyDescent="0.25">
      <c r="A21" s="3" t="s">
        <v>29</v>
      </c>
      <c r="B21" s="3" t="s">
        <v>437</v>
      </c>
      <c r="C21" s="4">
        <f>'12_DevOps_View'!$C$4</f>
        <v>400000</v>
      </c>
      <c r="D21" s="4">
        <f>'12_DevOps_View'!$D$4</f>
        <v>910000</v>
      </c>
      <c r="E21" s="4">
        <f>'12_DevOps_View'!$E$4</f>
        <v>1520000</v>
      </c>
      <c r="F21" s="4">
        <f>'12_DevOps_View'!$F$4</f>
        <v>2480000</v>
      </c>
      <c r="G21" s="4">
        <f>'12_DevOps_View'!$G$4</f>
        <v>3700000</v>
      </c>
    </row>
    <row r="22" spans="1:7" x14ac:dyDescent="0.25">
      <c r="A22" s="3" t="s">
        <v>29</v>
      </c>
      <c r="B22" s="3" t="s">
        <v>468</v>
      </c>
      <c r="C22" s="4">
        <f>'09_Operating_Expenses'!$C$15</f>
        <v>90000</v>
      </c>
      <c r="D22" s="4">
        <f>'09_Operating_Expenses'!$D$15</f>
        <v>336000</v>
      </c>
      <c r="E22" s="4">
        <f>'09_Operating_Expenses'!$E$15</f>
        <v>672000</v>
      </c>
      <c r="F22" s="4">
        <f>'09_Operating_Expenses'!$F$15</f>
        <v>1188000</v>
      </c>
      <c r="G22" s="4">
        <f>'09_Operating_Expenses'!$G$15</f>
        <v>1920000</v>
      </c>
    </row>
    <row r="23" spans="1:7" x14ac:dyDescent="0.25">
      <c r="A23" s="3" t="s">
        <v>29</v>
      </c>
      <c r="B23" s="3" t="s">
        <v>438</v>
      </c>
      <c r="C23" s="4">
        <f>'12_DevOps_View'!$C$5</f>
        <v>310000</v>
      </c>
      <c r="D23" s="4">
        <f>'12_DevOps_View'!$D$5</f>
        <v>574000</v>
      </c>
      <c r="E23" s="4">
        <f>'12_DevOps_View'!$E$5</f>
        <v>848000</v>
      </c>
      <c r="F23" s="4">
        <f>'12_DevOps_View'!$F$5</f>
        <v>1292000</v>
      </c>
      <c r="G23" s="4">
        <f>'12_DevOps_View'!$G$5</f>
        <v>1780000</v>
      </c>
    </row>
    <row r="24" spans="1:7" x14ac:dyDescent="0.25">
      <c r="A24" s="3" t="s">
        <v>29</v>
      </c>
      <c r="B24" s="3" t="s">
        <v>469</v>
      </c>
      <c r="C24" s="4">
        <f>'14_Consolidated_View'!$C$6</f>
        <v>111048</v>
      </c>
      <c r="D24" s="4">
        <f>'14_Consolidated_View'!$D$6</f>
        <v>274579.2</v>
      </c>
      <c r="E24" s="4">
        <f>'14_Consolidated_View'!$E$6</f>
        <v>477158.4</v>
      </c>
      <c r="F24" s="4">
        <f>'14_Consolidated_View'!$F$6</f>
        <v>793833.6</v>
      </c>
      <c r="G24" s="4">
        <f>'14_Consolidated_View'!$G$6</f>
        <v>1209024</v>
      </c>
    </row>
    <row r="25" spans="1:7" x14ac:dyDescent="0.25">
      <c r="A25" s="3" t="s">
        <v>29</v>
      </c>
      <c r="B25" s="3" t="s">
        <v>470</v>
      </c>
      <c r="C25" s="4">
        <f>'14_Consolidated_View'!$C$7</f>
        <v>-3672.96</v>
      </c>
      <c r="D25" s="4">
        <f>'14_Consolidated_View'!$D$7</f>
        <v>24087.62</v>
      </c>
      <c r="E25" s="4">
        <f>'14_Consolidated_View'!$E$7</f>
        <v>67615.23</v>
      </c>
      <c r="F25" s="4">
        <f>'14_Consolidated_View'!$F$7</f>
        <v>132956.93</v>
      </c>
      <c r="G25" s="4">
        <f>'14_Consolidated_View'!$G$7</f>
        <v>234843.52</v>
      </c>
    </row>
    <row r="26" spans="1:7" x14ac:dyDescent="0.25">
      <c r="A26" s="3" t="s">
        <v>29</v>
      </c>
      <c r="B26" s="3" t="s">
        <v>309</v>
      </c>
      <c r="C26" s="3" t="s">
        <v>452</v>
      </c>
      <c r="D26" s="3" t="s">
        <v>452</v>
      </c>
      <c r="E26" s="3" t="s">
        <v>452</v>
      </c>
      <c r="F26" s="3" t="s">
        <v>452</v>
      </c>
      <c r="G26" s="3" t="s">
        <v>452</v>
      </c>
    </row>
    <row r="27" spans="1:7" x14ac:dyDescent="0.25">
      <c r="A27" s="3" t="s">
        <v>29</v>
      </c>
      <c r="B27" s="3" t="s">
        <v>471</v>
      </c>
      <c r="C27" s="3" t="s">
        <v>472</v>
      </c>
      <c r="D27" s="3" t="s">
        <v>472</v>
      </c>
      <c r="E27" s="3" t="s">
        <v>472</v>
      </c>
      <c r="F27" s="3" t="s">
        <v>472</v>
      </c>
      <c r="G27" s="3" t="s">
        <v>472</v>
      </c>
    </row>
    <row r="28" spans="1:7" x14ac:dyDescent="0.25">
      <c r="A28" s="3" t="s">
        <v>60</v>
      </c>
      <c r="B28" s="3" t="s">
        <v>463</v>
      </c>
      <c r="C28" s="4">
        <f>'10_Rural_Bank_View'!$C$8</f>
        <v>323513.31</v>
      </c>
      <c r="D28" s="4">
        <f>'10_Rural_Bank_View'!$D$8</f>
        <v>766448.18</v>
      </c>
      <c r="E28" s="4">
        <f>'10_Rural_Bank_View'!$E$8</f>
        <v>1406479.85</v>
      </c>
      <c r="F28" s="4">
        <f>'10_Rural_Bank_View'!$F$8</f>
        <v>2260973.09</v>
      </c>
      <c r="G28" s="4">
        <f>'10_Rural_Bank_View'!$G$8</f>
        <v>3162075.84</v>
      </c>
    </row>
    <row r="29" spans="1:7" x14ac:dyDescent="0.25">
      <c r="A29" s="3" t="s">
        <v>60</v>
      </c>
      <c r="B29" s="3" t="s">
        <v>464</v>
      </c>
      <c r="C29" s="4">
        <f>'10_Rural_Bank_View'!$C$10</f>
        <v>323513.31</v>
      </c>
      <c r="D29" s="4">
        <f>'10_Rural_Bank_View'!$D$10</f>
        <v>766448.18</v>
      </c>
      <c r="E29" s="4">
        <f>'10_Rural_Bank_View'!$E$10</f>
        <v>1406479.85</v>
      </c>
      <c r="F29" s="4">
        <f>'10_Rural_Bank_View'!$F$10</f>
        <v>2260973.09</v>
      </c>
      <c r="G29" s="4">
        <f>'10_Rural_Bank_View'!$G$10</f>
        <v>3162075.84</v>
      </c>
    </row>
    <row r="30" spans="1:7" x14ac:dyDescent="0.25">
      <c r="A30" s="3" t="s">
        <v>60</v>
      </c>
      <c r="B30" s="3" t="s">
        <v>306</v>
      </c>
      <c r="C30" s="3" t="s">
        <v>462</v>
      </c>
      <c r="D30" s="3" t="s">
        <v>462</v>
      </c>
      <c r="E30" s="3" t="s">
        <v>462</v>
      </c>
      <c r="F30" s="3" t="s">
        <v>462</v>
      </c>
      <c r="G30" s="3" t="s">
        <v>462</v>
      </c>
    </row>
    <row r="31" spans="1:7" x14ac:dyDescent="0.25">
      <c r="A31" s="3" t="s">
        <v>60</v>
      </c>
      <c r="B31" s="3" t="s">
        <v>465</v>
      </c>
      <c r="C31" s="4">
        <f>'11_ODTI_View'!$C$8</f>
        <v>1054014.39</v>
      </c>
      <c r="D31" s="4">
        <f>'11_ODTI_View'!$D$8</f>
        <v>1959179.08</v>
      </c>
      <c r="E31" s="4">
        <f>'11_ODTI_View'!$E$8</f>
        <v>3272186.32</v>
      </c>
      <c r="F31" s="4">
        <f>'11_ODTI_View'!$F$8</f>
        <v>4978903.87</v>
      </c>
      <c r="G31" s="4">
        <f>'11_ODTI_View'!$G$8</f>
        <v>6725176.96</v>
      </c>
    </row>
    <row r="32" spans="1:7" x14ac:dyDescent="0.25">
      <c r="A32" s="3" t="s">
        <v>60</v>
      </c>
      <c r="B32" s="3" t="s">
        <v>466</v>
      </c>
      <c r="C32" s="4">
        <f>'09_Operating_Expenses'!$C$24</f>
        <v>204000</v>
      </c>
      <c r="D32" s="4">
        <f>'09_Operating_Expenses'!$D$24</f>
        <v>400000</v>
      </c>
      <c r="E32" s="4">
        <f>'09_Operating_Expenses'!$E$24</f>
        <v>684000</v>
      </c>
      <c r="F32" s="4">
        <f>'09_Operating_Expenses'!$F$24</f>
        <v>1056000</v>
      </c>
      <c r="G32" s="4">
        <f>'09_Operating_Expenses'!$G$24</f>
        <v>1440000</v>
      </c>
    </row>
    <row r="33" spans="1:7" x14ac:dyDescent="0.25">
      <c r="A33" s="3" t="s">
        <v>60</v>
      </c>
      <c r="B33" s="3" t="s">
        <v>467</v>
      </c>
      <c r="C33" s="4">
        <f>'11_ODTI_View'!$C$9</f>
        <v>850014.39</v>
      </c>
      <c r="D33" s="4">
        <f>'11_ODTI_View'!$D$9</f>
        <v>1559179.08</v>
      </c>
      <c r="E33" s="4">
        <f>'11_ODTI_View'!$E$9</f>
        <v>2588186.32</v>
      </c>
      <c r="F33" s="4">
        <f>'11_ODTI_View'!$F$9</f>
        <v>3922903.87</v>
      </c>
      <c r="G33" s="4">
        <f>'11_ODTI_View'!$G$9</f>
        <v>5285176.96</v>
      </c>
    </row>
    <row r="34" spans="1:7" x14ac:dyDescent="0.25">
      <c r="A34" s="3" t="s">
        <v>60</v>
      </c>
      <c r="B34" s="3" t="s">
        <v>437</v>
      </c>
      <c r="C34" s="4">
        <f>'12_DevOps_View'!$C$6</f>
        <v>920000</v>
      </c>
      <c r="D34" s="4">
        <f>'12_DevOps_View'!$D$6</f>
        <v>1880000</v>
      </c>
      <c r="E34" s="4">
        <f>'12_DevOps_View'!$E$6</f>
        <v>3270000</v>
      </c>
      <c r="F34" s="4">
        <f>'12_DevOps_View'!$F$6</f>
        <v>5100000</v>
      </c>
      <c r="G34" s="4">
        <f>'12_DevOps_View'!$G$6</f>
        <v>7000000</v>
      </c>
    </row>
    <row r="35" spans="1:7" x14ac:dyDescent="0.25">
      <c r="A35" s="3" t="s">
        <v>60</v>
      </c>
      <c r="B35" s="3" t="s">
        <v>468</v>
      </c>
      <c r="C35" s="4">
        <f>'09_Operating_Expenses'!$C$25</f>
        <v>210000</v>
      </c>
      <c r="D35" s="4">
        <f>'09_Operating_Expenses'!$D$25</f>
        <v>640000</v>
      </c>
      <c r="E35" s="4">
        <f>'09_Operating_Expenses'!$E$25</f>
        <v>1260000</v>
      </c>
      <c r="F35" s="4">
        <f>'09_Operating_Expenses'!$F$25</f>
        <v>2100000</v>
      </c>
      <c r="G35" s="4">
        <f>'09_Operating_Expenses'!$G$25</f>
        <v>3000000</v>
      </c>
    </row>
    <row r="36" spans="1:7" x14ac:dyDescent="0.25">
      <c r="A36" s="3" t="s">
        <v>60</v>
      </c>
      <c r="B36" s="3" t="s">
        <v>438</v>
      </c>
      <c r="C36" s="4">
        <f>'12_DevOps_View'!$C$7</f>
        <v>710000</v>
      </c>
      <c r="D36" s="4">
        <f>'12_DevOps_View'!$D$7</f>
        <v>1240000</v>
      </c>
      <c r="E36" s="4">
        <f>'12_DevOps_View'!$E$7</f>
        <v>2010000</v>
      </c>
      <c r="F36" s="4">
        <f>'12_DevOps_View'!$F$7</f>
        <v>3000000</v>
      </c>
      <c r="G36" s="4">
        <f>'12_DevOps_View'!$G$7</f>
        <v>4000000</v>
      </c>
    </row>
    <row r="37" spans="1:7" x14ac:dyDescent="0.25">
      <c r="A37" s="3" t="s">
        <v>60</v>
      </c>
      <c r="B37" s="3" t="s">
        <v>469</v>
      </c>
      <c r="C37" s="4">
        <f>'14_Consolidated_View'!$C$10</f>
        <v>674270.4</v>
      </c>
      <c r="D37" s="4">
        <f>'14_Consolidated_View'!$D$10</f>
        <v>1500633.6</v>
      </c>
      <c r="E37" s="4">
        <f>'14_Consolidated_View'!$E$10</f>
        <v>2695622.4</v>
      </c>
      <c r="F37" s="4">
        <f>'14_Consolidated_View'!$F$10</f>
        <v>4282704</v>
      </c>
      <c r="G37" s="4">
        <f>'14_Consolidated_View'!$G$10</f>
        <v>5946720</v>
      </c>
    </row>
    <row r="38" spans="1:7" x14ac:dyDescent="0.25">
      <c r="A38" s="3" t="s">
        <v>60</v>
      </c>
      <c r="B38" s="3" t="s">
        <v>470</v>
      </c>
      <c r="C38" s="4">
        <f>'14_Consolidated_View'!$C$11</f>
        <v>463527.7</v>
      </c>
      <c r="D38" s="4">
        <f>'14_Consolidated_View'!$D$11</f>
        <v>1085627.26</v>
      </c>
      <c r="E38" s="4">
        <f>'14_Consolidated_View'!$E$11</f>
        <v>1984666.18</v>
      </c>
      <c r="F38" s="4">
        <f>'14_Consolidated_View'!$F$11</f>
        <v>3183876.96</v>
      </c>
      <c r="G38" s="4">
        <f>'14_Consolidated_View'!$G$11</f>
        <v>4447252.8</v>
      </c>
    </row>
    <row r="39" spans="1:7" x14ac:dyDescent="0.25">
      <c r="A39" s="3" t="s">
        <v>60</v>
      </c>
      <c r="B39" s="3" t="s">
        <v>309</v>
      </c>
      <c r="C39" s="3" t="s">
        <v>452</v>
      </c>
      <c r="D39" s="3" t="s">
        <v>452</v>
      </c>
      <c r="E39" s="3" t="s">
        <v>452</v>
      </c>
      <c r="F39" s="3" t="s">
        <v>452</v>
      </c>
      <c r="G39" s="3" t="s">
        <v>452</v>
      </c>
    </row>
    <row r="40" spans="1:7" x14ac:dyDescent="0.25">
      <c r="A40" s="3" t="s">
        <v>60</v>
      </c>
      <c r="B40" s="3" t="s">
        <v>471</v>
      </c>
      <c r="C40" s="3" t="s">
        <v>472</v>
      </c>
      <c r="D40" s="3" t="s">
        <v>472</v>
      </c>
      <c r="E40" s="3" t="s">
        <v>472</v>
      </c>
      <c r="F40" s="3" t="s">
        <v>472</v>
      </c>
      <c r="G40" s="3" t="s">
        <v>472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4" customWidth="1"/>
    <col min="2" max="7" width="42" customWidth="1"/>
  </cols>
  <sheetData>
    <row r="1" spans="1:7" s="1" customFormat="1" x14ac:dyDescent="0.25">
      <c r="A1" s="2" t="s">
        <v>227</v>
      </c>
      <c r="B1" s="2" t="s">
        <v>228</v>
      </c>
      <c r="C1" s="2" t="s">
        <v>33</v>
      </c>
      <c r="D1" s="2" t="s">
        <v>73</v>
      </c>
      <c r="E1" s="2" t="s">
        <v>74</v>
      </c>
      <c r="F1" s="2" t="s">
        <v>75</v>
      </c>
      <c r="G1" s="2" t="s">
        <v>76</v>
      </c>
    </row>
    <row r="2" spans="1:7" x14ac:dyDescent="0.25">
      <c r="A2" s="3" t="s">
        <v>59</v>
      </c>
      <c r="B2" s="3" t="s">
        <v>473</v>
      </c>
      <c r="C2" s="4">
        <f>'07_Revenue'!$C$5</f>
        <v>8547.2</v>
      </c>
      <c r="D2" s="4">
        <f>'07_Revenue'!$D$5</f>
        <v>20462.4</v>
      </c>
      <c r="E2" s="4">
        <f>'07_Revenue'!$E$5</f>
        <v>38745.6</v>
      </c>
      <c r="F2" s="4">
        <f>'07_Revenue'!$F$5</f>
        <v>57849.6</v>
      </c>
      <c r="G2" s="4">
        <f>'07_Revenue'!$G$5</f>
        <v>76132.8</v>
      </c>
    </row>
    <row r="3" spans="1:7" x14ac:dyDescent="0.25">
      <c r="A3" s="3" t="s">
        <v>59</v>
      </c>
      <c r="B3" s="3" t="s">
        <v>474</v>
      </c>
      <c r="C3" s="4">
        <f>'07_Revenue'!$C$5*(1-'02_Assumptions'!$F$36)</f>
        <v>8119.84</v>
      </c>
      <c r="D3" s="4">
        <f>'07_Revenue'!$D$5*(1-'02_Assumptions'!$F$36)</f>
        <v>19439.28</v>
      </c>
      <c r="E3" s="4">
        <f>'07_Revenue'!$E$5*(1-'02_Assumptions'!$F$36)</f>
        <v>36808.32</v>
      </c>
      <c r="F3" s="4">
        <f>'07_Revenue'!$F$5*(1-'02_Assumptions'!$F$36)</f>
        <v>54957.12</v>
      </c>
      <c r="G3" s="4">
        <f>'07_Revenue'!$G$5*(1-'02_Assumptions'!$F$36)</f>
        <v>72326.16</v>
      </c>
    </row>
    <row r="4" spans="1:7" x14ac:dyDescent="0.25">
      <c r="A4" s="3" t="s">
        <v>59</v>
      </c>
      <c r="B4" s="3" t="s">
        <v>475</v>
      </c>
      <c r="C4" s="4">
        <f>'09_Operating_Expenses'!$C$4</f>
        <v>52000</v>
      </c>
      <c r="D4" s="4">
        <f>'09_Operating_Expenses'!$D$4</f>
        <v>114000</v>
      </c>
      <c r="E4" s="4">
        <f>'09_Operating_Expenses'!$E$4</f>
        <v>206000</v>
      </c>
      <c r="F4" s="4">
        <f>'09_Operating_Expenses'!$F$4</f>
        <v>296000</v>
      </c>
      <c r="G4" s="4">
        <f>'09_Operating_Expenses'!$G$4</f>
        <v>388000</v>
      </c>
    </row>
    <row r="5" spans="1:7" x14ac:dyDescent="0.25">
      <c r="A5" s="3" t="s">
        <v>59</v>
      </c>
      <c r="B5" s="3" t="s">
        <v>476</v>
      </c>
      <c r="C5" s="4">
        <f>'09_Operating_Expenses'!$C$9</f>
        <v>16000</v>
      </c>
      <c r="D5" s="4">
        <f>'09_Operating_Expenses'!$D$9</f>
        <v>72000</v>
      </c>
      <c r="E5" s="4">
        <f>'09_Operating_Expenses'!$E$9</f>
        <v>168000</v>
      </c>
      <c r="F5" s="4">
        <f>'09_Operating_Expenses'!$F$9</f>
        <v>288000</v>
      </c>
      <c r="G5" s="4">
        <f>'09_Operating_Expenses'!$G$9</f>
        <v>384000</v>
      </c>
    </row>
    <row r="6" spans="1:7" x14ac:dyDescent="0.25">
      <c r="A6" s="3" t="s">
        <v>59</v>
      </c>
      <c r="B6" s="3" t="s">
        <v>477</v>
      </c>
      <c r="C6" s="3" t="s">
        <v>478</v>
      </c>
      <c r="D6" s="3" t="s">
        <v>478</v>
      </c>
      <c r="E6" s="3" t="s">
        <v>478</v>
      </c>
      <c r="F6" s="3" t="s">
        <v>478</v>
      </c>
      <c r="G6" s="3" t="s">
        <v>478</v>
      </c>
    </row>
    <row r="7" spans="1:7" x14ac:dyDescent="0.25">
      <c r="A7" s="3" t="s">
        <v>59</v>
      </c>
      <c r="B7" s="3" t="s">
        <v>479</v>
      </c>
      <c r="C7" s="3" t="s">
        <v>480</v>
      </c>
      <c r="D7" s="3" t="s">
        <v>480</v>
      </c>
      <c r="E7" s="3" t="s">
        <v>480</v>
      </c>
      <c r="F7" s="3" t="s">
        <v>480</v>
      </c>
      <c r="G7" s="3" t="s">
        <v>480</v>
      </c>
    </row>
    <row r="8" spans="1:7" x14ac:dyDescent="0.25">
      <c r="A8" s="3" t="s">
        <v>59</v>
      </c>
      <c r="B8" s="3" t="s">
        <v>481</v>
      </c>
      <c r="C8" s="3" t="s">
        <v>482</v>
      </c>
      <c r="D8" s="3" t="s">
        <v>482</v>
      </c>
      <c r="E8" s="3" t="s">
        <v>482</v>
      </c>
      <c r="F8" s="3" t="s">
        <v>482</v>
      </c>
      <c r="G8" s="3" t="s">
        <v>482</v>
      </c>
    </row>
    <row r="9" spans="1:7" x14ac:dyDescent="0.25">
      <c r="A9" s="3" t="s">
        <v>29</v>
      </c>
      <c r="B9" s="3" t="s">
        <v>473</v>
      </c>
      <c r="C9" s="4">
        <f>'07_Revenue'!$C$12</f>
        <v>111048</v>
      </c>
      <c r="D9" s="4">
        <f>'07_Revenue'!$D$12</f>
        <v>274579.2</v>
      </c>
      <c r="E9" s="4">
        <f>'07_Revenue'!$E$12</f>
        <v>477158.4</v>
      </c>
      <c r="F9" s="4">
        <f>'07_Revenue'!$F$12</f>
        <v>793833.6</v>
      </c>
      <c r="G9" s="4">
        <f>'07_Revenue'!$G$12</f>
        <v>1209024</v>
      </c>
    </row>
    <row r="10" spans="1:7" x14ac:dyDescent="0.25">
      <c r="A10" s="3" t="s">
        <v>29</v>
      </c>
      <c r="B10" s="3" t="s">
        <v>474</v>
      </c>
      <c r="C10" s="4">
        <f>'07_Revenue'!$C$12*(1-'02_Assumptions'!$G$36)</f>
        <v>108827.04</v>
      </c>
      <c r="D10" s="4">
        <f>'07_Revenue'!$D$12*(1-'02_Assumptions'!$G$36)</f>
        <v>269087.62</v>
      </c>
      <c r="E10" s="4">
        <f>'07_Revenue'!$E$12*(1-'02_Assumptions'!$G$36)</f>
        <v>467615.23</v>
      </c>
      <c r="F10" s="4">
        <f>'07_Revenue'!$F$12*(1-'02_Assumptions'!$G$36)</f>
        <v>777956.93</v>
      </c>
      <c r="G10" s="4">
        <f>'07_Revenue'!$G$12*(1-'02_Assumptions'!$G$36)</f>
        <v>1184843.52</v>
      </c>
    </row>
    <row r="11" spans="1:7" x14ac:dyDescent="0.25">
      <c r="A11" s="3" t="s">
        <v>29</v>
      </c>
      <c r="B11" s="3" t="s">
        <v>475</v>
      </c>
      <c r="C11" s="4">
        <f>'09_Operating_Expenses'!$C$14</f>
        <v>112500</v>
      </c>
      <c r="D11" s="4">
        <f>'09_Operating_Expenses'!$D$14</f>
        <v>245000</v>
      </c>
      <c r="E11" s="4">
        <f>'09_Operating_Expenses'!$E$14</f>
        <v>400000</v>
      </c>
      <c r="F11" s="4">
        <f>'09_Operating_Expenses'!$F$14</f>
        <v>645000</v>
      </c>
      <c r="G11" s="4">
        <f>'09_Operating_Expenses'!$G$14</f>
        <v>950000</v>
      </c>
    </row>
    <row r="12" spans="1:7" x14ac:dyDescent="0.25">
      <c r="A12" s="3" t="s">
        <v>29</v>
      </c>
      <c r="B12" s="3" t="s">
        <v>476</v>
      </c>
      <c r="C12" s="4">
        <f>'09_Operating_Expenses'!$C$19</f>
        <v>45000</v>
      </c>
      <c r="D12" s="4">
        <f>'09_Operating_Expenses'!$D$19</f>
        <v>168000</v>
      </c>
      <c r="E12" s="4">
        <f>'09_Operating_Expenses'!$E$19</f>
        <v>336000</v>
      </c>
      <c r="F12" s="4">
        <f>'09_Operating_Expenses'!$F$19</f>
        <v>594000</v>
      </c>
      <c r="G12" s="4">
        <f>'09_Operating_Expenses'!$G$19</f>
        <v>960000</v>
      </c>
    </row>
    <row r="13" spans="1:7" x14ac:dyDescent="0.25">
      <c r="A13" s="3" t="s">
        <v>29</v>
      </c>
      <c r="B13" s="3" t="s">
        <v>477</v>
      </c>
      <c r="C13" s="3" t="s">
        <v>478</v>
      </c>
      <c r="D13" s="3" t="s">
        <v>478</v>
      </c>
      <c r="E13" s="3" t="s">
        <v>478</v>
      </c>
      <c r="F13" s="3" t="s">
        <v>478</v>
      </c>
      <c r="G13" s="3" t="s">
        <v>478</v>
      </c>
    </row>
    <row r="14" spans="1:7" x14ac:dyDescent="0.25">
      <c r="A14" s="3" t="s">
        <v>29</v>
      </c>
      <c r="B14" s="3" t="s">
        <v>479</v>
      </c>
      <c r="C14" s="3" t="s">
        <v>480</v>
      </c>
      <c r="D14" s="3" t="s">
        <v>480</v>
      </c>
      <c r="E14" s="3" t="s">
        <v>480</v>
      </c>
      <c r="F14" s="3" t="s">
        <v>480</v>
      </c>
      <c r="G14" s="3" t="s">
        <v>480</v>
      </c>
    </row>
    <row r="15" spans="1:7" x14ac:dyDescent="0.25">
      <c r="A15" s="3" t="s">
        <v>29</v>
      </c>
      <c r="B15" s="3" t="s">
        <v>481</v>
      </c>
      <c r="C15" s="3" t="s">
        <v>482</v>
      </c>
      <c r="D15" s="3" t="s">
        <v>482</v>
      </c>
      <c r="E15" s="3" t="s">
        <v>482</v>
      </c>
      <c r="F15" s="3" t="s">
        <v>482</v>
      </c>
      <c r="G15" s="3" t="s">
        <v>482</v>
      </c>
    </row>
    <row r="16" spans="1:7" x14ac:dyDescent="0.25">
      <c r="A16" s="3" t="s">
        <v>60</v>
      </c>
      <c r="B16" s="3" t="s">
        <v>473</v>
      </c>
      <c r="C16" s="4">
        <f>'07_Revenue'!$C$19</f>
        <v>674270.4</v>
      </c>
      <c r="D16" s="4">
        <f>'07_Revenue'!$D$19</f>
        <v>1500633.6</v>
      </c>
      <c r="E16" s="4">
        <f>'07_Revenue'!$E$19</f>
        <v>2695622.4</v>
      </c>
      <c r="F16" s="4">
        <f>'07_Revenue'!$F$19</f>
        <v>4282704</v>
      </c>
      <c r="G16" s="4">
        <f>'07_Revenue'!$G$19</f>
        <v>5946720</v>
      </c>
    </row>
    <row r="17" spans="1:7" x14ac:dyDescent="0.25">
      <c r="A17" s="3" t="s">
        <v>60</v>
      </c>
      <c r="B17" s="3" t="s">
        <v>474</v>
      </c>
      <c r="C17" s="4">
        <f>'07_Revenue'!$C$19*(1-'02_Assumptions'!$H$36)</f>
        <v>667527.7</v>
      </c>
      <c r="D17" s="4">
        <f>'07_Revenue'!$D$19*(1-'02_Assumptions'!$H$36)</f>
        <v>1485627.26</v>
      </c>
      <c r="E17" s="4">
        <f>'07_Revenue'!$E$19*(1-'02_Assumptions'!$H$36)</f>
        <v>2668666.18</v>
      </c>
      <c r="F17" s="4">
        <f>'07_Revenue'!$F$19*(1-'02_Assumptions'!$H$36)</f>
        <v>4239876.96</v>
      </c>
      <c r="G17" s="4">
        <f>'07_Revenue'!$G$19*(1-'02_Assumptions'!$H$36)</f>
        <v>5887252.8</v>
      </c>
    </row>
    <row r="18" spans="1:7" x14ac:dyDescent="0.25">
      <c r="A18" s="3" t="s">
        <v>60</v>
      </c>
      <c r="B18" s="3" t="s">
        <v>475</v>
      </c>
      <c r="C18" s="4">
        <f>'09_Operating_Expenses'!$C$24</f>
        <v>204000</v>
      </c>
      <c r="D18" s="4">
        <f>'09_Operating_Expenses'!$D$24</f>
        <v>400000</v>
      </c>
      <c r="E18" s="4">
        <f>'09_Operating_Expenses'!$E$24</f>
        <v>684000</v>
      </c>
      <c r="F18" s="4">
        <f>'09_Operating_Expenses'!$F$24</f>
        <v>1056000</v>
      </c>
      <c r="G18" s="4">
        <f>'09_Operating_Expenses'!$G$24</f>
        <v>1440000</v>
      </c>
    </row>
    <row r="19" spans="1:7" x14ac:dyDescent="0.25">
      <c r="A19" s="3" t="s">
        <v>60</v>
      </c>
      <c r="B19" s="3" t="s">
        <v>476</v>
      </c>
      <c r="C19" s="4">
        <f>'09_Operating_Expenses'!$C$29</f>
        <v>105000</v>
      </c>
      <c r="D19" s="4">
        <f>'09_Operating_Expenses'!$D$29</f>
        <v>320000</v>
      </c>
      <c r="E19" s="4">
        <f>'09_Operating_Expenses'!$E$29</f>
        <v>630000</v>
      </c>
      <c r="F19" s="4">
        <f>'09_Operating_Expenses'!$F$29</f>
        <v>1050000</v>
      </c>
      <c r="G19" s="4">
        <f>'09_Operating_Expenses'!$G$29</f>
        <v>1500000</v>
      </c>
    </row>
    <row r="20" spans="1:7" x14ac:dyDescent="0.25">
      <c r="A20" s="3" t="s">
        <v>60</v>
      </c>
      <c r="B20" s="3" t="s">
        <v>477</v>
      </c>
      <c r="C20" s="3" t="s">
        <v>478</v>
      </c>
      <c r="D20" s="3" t="s">
        <v>478</v>
      </c>
      <c r="E20" s="3" t="s">
        <v>478</v>
      </c>
      <c r="F20" s="3" t="s">
        <v>478</v>
      </c>
      <c r="G20" s="3" t="s">
        <v>478</v>
      </c>
    </row>
    <row r="21" spans="1:7" x14ac:dyDescent="0.25">
      <c r="A21" s="3" t="s">
        <v>60</v>
      </c>
      <c r="B21" s="3" t="s">
        <v>479</v>
      </c>
      <c r="C21" s="3" t="s">
        <v>480</v>
      </c>
      <c r="D21" s="3" t="s">
        <v>480</v>
      </c>
      <c r="E21" s="3" t="s">
        <v>480</v>
      </c>
      <c r="F21" s="3" t="s">
        <v>480</v>
      </c>
      <c r="G21" s="3" t="s">
        <v>480</v>
      </c>
    </row>
    <row r="22" spans="1:7" x14ac:dyDescent="0.25">
      <c r="A22" s="3" t="s">
        <v>60</v>
      </c>
      <c r="B22" s="3" t="s">
        <v>481</v>
      </c>
      <c r="C22" s="3" t="s">
        <v>482</v>
      </c>
      <c r="D22" s="3" t="s">
        <v>482</v>
      </c>
      <c r="E22" s="3" t="s">
        <v>482</v>
      </c>
      <c r="F22" s="3" t="s">
        <v>482</v>
      </c>
      <c r="G22" s="3" t="s">
        <v>482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4" customWidth="1"/>
    <col min="2" max="7" width="42" customWidth="1"/>
  </cols>
  <sheetData>
    <row r="1" spans="1:7" s="1" customFormat="1" x14ac:dyDescent="0.25">
      <c r="A1" s="2" t="s">
        <v>227</v>
      </c>
      <c r="B1" s="2" t="s">
        <v>228</v>
      </c>
      <c r="C1" s="2" t="s">
        <v>33</v>
      </c>
      <c r="D1" s="2" t="s">
        <v>73</v>
      </c>
      <c r="E1" s="2" t="s">
        <v>74</v>
      </c>
      <c r="F1" s="2" t="s">
        <v>75</v>
      </c>
      <c r="G1" s="2" t="s">
        <v>76</v>
      </c>
    </row>
    <row r="2" spans="1:7" x14ac:dyDescent="0.25">
      <c r="A2" s="3" t="s">
        <v>59</v>
      </c>
      <c r="B2" s="3" t="s">
        <v>483</v>
      </c>
      <c r="C2" s="4">
        <f>'09_Operating_Expenses'!$C$10</f>
        <v>176000</v>
      </c>
      <c r="D2" s="4">
        <f>'09_Operating_Expenses'!$D$10</f>
        <v>492000</v>
      </c>
      <c r="E2" s="4">
        <f>'09_Operating_Expenses'!$E$10</f>
        <v>998000</v>
      </c>
      <c r="F2" s="4">
        <f>'09_Operating_Expenses'!$F$10</f>
        <v>1568000</v>
      </c>
      <c r="G2" s="4">
        <f>'09_Operating_Expenses'!$G$10</f>
        <v>2074000</v>
      </c>
    </row>
    <row r="3" spans="1:7" x14ac:dyDescent="0.25">
      <c r="A3" s="3" t="s">
        <v>59</v>
      </c>
      <c r="B3" s="3" t="s">
        <v>484</v>
      </c>
      <c r="C3" s="4">
        <f>'10_Rural_Bank_View'!$C$4</f>
        <v>3703.94</v>
      </c>
      <c r="D3" s="4">
        <f>'10_Rural_Bank_View'!$D$4</f>
        <v>9827.71</v>
      </c>
      <c r="E3" s="4">
        <f>'10_Rural_Bank_View'!$E$4</f>
        <v>19511.33</v>
      </c>
      <c r="F3" s="4">
        <f>'10_Rural_Bank_View'!$F$4</f>
        <v>30190.85</v>
      </c>
      <c r="G3" s="4">
        <f>'10_Rural_Bank_View'!$G$4</f>
        <v>39874.46</v>
      </c>
    </row>
    <row r="4" spans="1:7" x14ac:dyDescent="0.25">
      <c r="A4" s="3" t="s">
        <v>59</v>
      </c>
      <c r="B4" s="3" t="s">
        <v>485</v>
      </c>
      <c r="C4" s="4">
        <f>'11_ODTI_View'!$C$3</f>
        <v>72415.9</v>
      </c>
      <c r="D4" s="4">
        <f>'11_ODTI_View'!$D$3</f>
        <v>135611.57</v>
      </c>
      <c r="E4" s="4">
        <f>'11_ODTI_View'!$E$3</f>
        <v>221296.99</v>
      </c>
      <c r="F4" s="4">
        <f>'11_ODTI_View'!$F$3</f>
        <v>288766.27</v>
      </c>
      <c r="G4" s="4">
        <f>'11_ODTI_View'!$G$3</f>
        <v>374451.7</v>
      </c>
    </row>
    <row r="5" spans="1:7" x14ac:dyDescent="0.25">
      <c r="A5" s="3" t="s">
        <v>59</v>
      </c>
      <c r="B5" s="3" t="s">
        <v>486</v>
      </c>
      <c r="C5" s="4">
        <f>'12_DevOps_View'!$C$3</f>
        <v>108000</v>
      </c>
      <c r="D5" s="4">
        <f>'12_DevOps_View'!$D$3</f>
        <v>186000</v>
      </c>
      <c r="E5" s="4">
        <f>'12_DevOps_View'!$E$3</f>
        <v>284000</v>
      </c>
      <c r="F5" s="4">
        <f>'12_DevOps_View'!$F$3</f>
        <v>344000</v>
      </c>
      <c r="G5" s="4">
        <f>'12_DevOps_View'!$G$3</f>
        <v>442000</v>
      </c>
    </row>
    <row r="6" spans="1:7" x14ac:dyDescent="0.25">
      <c r="A6" s="3" t="s">
        <v>59</v>
      </c>
      <c r="B6" s="3" t="s">
        <v>470</v>
      </c>
      <c r="C6" s="4">
        <f>'14_Consolidated_View'!$C$3</f>
        <v>-43880.16</v>
      </c>
      <c r="D6" s="4">
        <f>'14_Consolidated_View'!$D$3</f>
        <v>-94560.72</v>
      </c>
      <c r="E6" s="4">
        <f>'14_Consolidated_View'!$E$3</f>
        <v>-169191.68</v>
      </c>
      <c r="F6" s="4">
        <f>'14_Consolidated_View'!$F$3</f>
        <v>-241042.88</v>
      </c>
      <c r="G6" s="4">
        <f>'14_Consolidated_View'!$G$3</f>
        <v>-315673.84</v>
      </c>
    </row>
    <row r="7" spans="1:7" x14ac:dyDescent="0.25">
      <c r="A7" s="3" t="s">
        <v>59</v>
      </c>
      <c r="B7" s="3" t="s">
        <v>48</v>
      </c>
      <c r="C7" s="3" t="s">
        <v>487</v>
      </c>
      <c r="D7" s="3" t="s">
        <v>487</v>
      </c>
      <c r="E7" s="3" t="s">
        <v>487</v>
      </c>
      <c r="F7" s="3" t="s">
        <v>487</v>
      </c>
      <c r="G7" s="3" t="s">
        <v>487</v>
      </c>
    </row>
    <row r="8" spans="1:7" x14ac:dyDescent="0.25">
      <c r="A8" s="3" t="s">
        <v>59</v>
      </c>
      <c r="B8" s="3" t="s">
        <v>488</v>
      </c>
      <c r="C8" s="3" t="s">
        <v>489</v>
      </c>
      <c r="D8" s="3" t="s">
        <v>489</v>
      </c>
      <c r="E8" s="3" t="s">
        <v>489</v>
      </c>
      <c r="F8" s="3" t="s">
        <v>489</v>
      </c>
      <c r="G8" s="3" t="s">
        <v>489</v>
      </c>
    </row>
    <row r="9" spans="1:7" x14ac:dyDescent="0.25">
      <c r="A9" s="3" t="s">
        <v>59</v>
      </c>
      <c r="B9" s="3" t="s">
        <v>490</v>
      </c>
      <c r="C9" s="3" t="s">
        <v>491</v>
      </c>
      <c r="D9" s="3" t="s">
        <v>491</v>
      </c>
      <c r="E9" s="3" t="s">
        <v>491</v>
      </c>
      <c r="F9" s="3" t="s">
        <v>491</v>
      </c>
      <c r="G9" s="3" t="s">
        <v>491</v>
      </c>
    </row>
    <row r="10" spans="1:7" x14ac:dyDescent="0.25">
      <c r="A10" s="3" t="s">
        <v>59</v>
      </c>
      <c r="B10" s="3" t="s">
        <v>492</v>
      </c>
      <c r="C10" s="3" t="s">
        <v>493</v>
      </c>
      <c r="D10" s="3" t="s">
        <v>493</v>
      </c>
      <c r="E10" s="3" t="s">
        <v>493</v>
      </c>
      <c r="F10" s="3" t="s">
        <v>493</v>
      </c>
      <c r="G10" s="3" t="s">
        <v>493</v>
      </c>
    </row>
    <row r="11" spans="1:7" x14ac:dyDescent="0.25">
      <c r="A11" s="3" t="s">
        <v>29</v>
      </c>
      <c r="B11" s="3" t="s">
        <v>483</v>
      </c>
      <c r="C11" s="4">
        <f>'09_Operating_Expenses'!$C$20</f>
        <v>520000</v>
      </c>
      <c r="D11" s="4">
        <f>'09_Operating_Expenses'!$D$20</f>
        <v>1358000</v>
      </c>
      <c r="E11" s="4">
        <f>'09_Operating_Expenses'!$E$20</f>
        <v>2416000</v>
      </c>
      <c r="F11" s="4">
        <f>'09_Operating_Expenses'!$F$20</f>
        <v>4064000</v>
      </c>
      <c r="G11" s="4">
        <f>'09_Operating_Expenses'!$G$20</f>
        <v>6260000</v>
      </c>
    </row>
    <row r="12" spans="1:7" x14ac:dyDescent="0.25">
      <c r="A12" s="3" t="s">
        <v>29</v>
      </c>
      <c r="B12" s="3" t="s">
        <v>484</v>
      </c>
      <c r="C12" s="4">
        <f>'10_Rural_Bank_View'!$C$7</f>
        <v>51955.68</v>
      </c>
      <c r="D12" s="4">
        <f>'10_Rural_Bank_View'!$D$7</f>
        <v>139087.87</v>
      </c>
      <c r="E12" s="4">
        <f>'10_Rural_Bank_View'!$E$7</f>
        <v>249951.74</v>
      </c>
      <c r="F12" s="4">
        <f>'10_Rural_Bank_View'!$F$7</f>
        <v>422390.98</v>
      </c>
      <c r="G12" s="4">
        <f>'10_Rural_Bank_View'!$G$7</f>
        <v>653667.84</v>
      </c>
    </row>
    <row r="13" spans="1:7" x14ac:dyDescent="0.25">
      <c r="A13" s="3" t="s">
        <v>29</v>
      </c>
      <c r="B13" s="3" t="s">
        <v>485</v>
      </c>
      <c r="C13" s="4">
        <f>'11_ODTI_View'!$C$6</f>
        <v>269371.36</v>
      </c>
      <c r="D13" s="4">
        <f>'11_ODTI_View'!$D$6</f>
        <v>514999.74</v>
      </c>
      <c r="E13" s="4">
        <f>'11_ODTI_View'!$E$6</f>
        <v>777663.49</v>
      </c>
      <c r="F13" s="4">
        <f>'11_ODTI_View'!$F$6</f>
        <v>1200565.95</v>
      </c>
      <c r="G13" s="4">
        <f>'11_ODTI_View'!$G$6</f>
        <v>1681175.68</v>
      </c>
    </row>
    <row r="14" spans="1:7" x14ac:dyDescent="0.25">
      <c r="A14" s="3" t="s">
        <v>29</v>
      </c>
      <c r="B14" s="3" t="s">
        <v>486</v>
      </c>
      <c r="C14" s="4">
        <f>'12_DevOps_View'!$C$5</f>
        <v>310000</v>
      </c>
      <c r="D14" s="4">
        <f>'12_DevOps_View'!$D$5</f>
        <v>574000</v>
      </c>
      <c r="E14" s="4">
        <f>'12_DevOps_View'!$E$5</f>
        <v>848000</v>
      </c>
      <c r="F14" s="4">
        <f>'12_DevOps_View'!$F$5</f>
        <v>1292000</v>
      </c>
      <c r="G14" s="4">
        <f>'12_DevOps_View'!$G$5</f>
        <v>1780000</v>
      </c>
    </row>
    <row r="15" spans="1:7" x14ac:dyDescent="0.25">
      <c r="A15" s="3" t="s">
        <v>29</v>
      </c>
      <c r="B15" s="3" t="s">
        <v>470</v>
      </c>
      <c r="C15" s="4">
        <f>'14_Consolidated_View'!$C$7</f>
        <v>-3672.96</v>
      </c>
      <c r="D15" s="4">
        <f>'14_Consolidated_View'!$D$7</f>
        <v>24087.62</v>
      </c>
      <c r="E15" s="4">
        <f>'14_Consolidated_View'!$E$7</f>
        <v>67615.23</v>
      </c>
      <c r="F15" s="4">
        <f>'14_Consolidated_View'!$F$7</f>
        <v>132956.93</v>
      </c>
      <c r="G15" s="4">
        <f>'14_Consolidated_View'!$G$7</f>
        <v>234843.52</v>
      </c>
    </row>
    <row r="16" spans="1:7" x14ac:dyDescent="0.25">
      <c r="A16" s="3" t="s">
        <v>29</v>
      </c>
      <c r="B16" s="3" t="s">
        <v>48</v>
      </c>
      <c r="C16" s="3" t="s">
        <v>487</v>
      </c>
      <c r="D16" s="3" t="s">
        <v>487</v>
      </c>
      <c r="E16" s="3" t="s">
        <v>487</v>
      </c>
      <c r="F16" s="3" t="s">
        <v>487</v>
      </c>
      <c r="G16" s="3" t="s">
        <v>487</v>
      </c>
    </row>
    <row r="17" spans="1:7" x14ac:dyDescent="0.25">
      <c r="A17" s="3" t="s">
        <v>29</v>
      </c>
      <c r="B17" s="3" t="s">
        <v>488</v>
      </c>
      <c r="C17" s="3" t="s">
        <v>489</v>
      </c>
      <c r="D17" s="3" t="s">
        <v>489</v>
      </c>
      <c r="E17" s="3" t="s">
        <v>489</v>
      </c>
      <c r="F17" s="3" t="s">
        <v>489</v>
      </c>
      <c r="G17" s="3" t="s">
        <v>489</v>
      </c>
    </row>
    <row r="18" spans="1:7" x14ac:dyDescent="0.25">
      <c r="A18" s="3" t="s">
        <v>29</v>
      </c>
      <c r="B18" s="3" t="s">
        <v>490</v>
      </c>
      <c r="C18" s="3" t="s">
        <v>491</v>
      </c>
      <c r="D18" s="3" t="s">
        <v>491</v>
      </c>
      <c r="E18" s="3" t="s">
        <v>491</v>
      </c>
      <c r="F18" s="3" t="s">
        <v>491</v>
      </c>
      <c r="G18" s="3" t="s">
        <v>491</v>
      </c>
    </row>
    <row r="19" spans="1:7" x14ac:dyDescent="0.25">
      <c r="A19" s="3" t="s">
        <v>29</v>
      </c>
      <c r="B19" s="3" t="s">
        <v>492</v>
      </c>
      <c r="C19" s="3" t="s">
        <v>493</v>
      </c>
      <c r="D19" s="3" t="s">
        <v>493</v>
      </c>
      <c r="E19" s="3" t="s">
        <v>493</v>
      </c>
      <c r="F19" s="3" t="s">
        <v>493</v>
      </c>
      <c r="G19" s="3" t="s">
        <v>493</v>
      </c>
    </row>
    <row r="20" spans="1:7" x14ac:dyDescent="0.25">
      <c r="A20" s="3" t="s">
        <v>60</v>
      </c>
      <c r="B20" s="3" t="s">
        <v>483</v>
      </c>
      <c r="C20" s="4">
        <f>'09_Operating_Expenses'!$C$30</f>
        <v>1235000</v>
      </c>
      <c r="D20" s="4">
        <f>'09_Operating_Expenses'!$D$30</f>
        <v>2840000</v>
      </c>
      <c r="E20" s="4">
        <f>'09_Operating_Expenses'!$E$30</f>
        <v>5160000</v>
      </c>
      <c r="F20" s="4">
        <f>'09_Operating_Expenses'!$F$30</f>
        <v>8250000</v>
      </c>
      <c r="G20" s="4">
        <f>'09_Operating_Expenses'!$G$30</f>
        <v>11500000</v>
      </c>
    </row>
    <row r="21" spans="1:7" x14ac:dyDescent="0.25">
      <c r="A21" s="3" t="s">
        <v>60</v>
      </c>
      <c r="B21" s="3" t="s">
        <v>484</v>
      </c>
      <c r="C21" s="4">
        <f>'10_Rural_Bank_View'!$C$10</f>
        <v>323513.31</v>
      </c>
      <c r="D21" s="4">
        <f>'10_Rural_Bank_View'!$D$10</f>
        <v>766448.18</v>
      </c>
      <c r="E21" s="4">
        <f>'10_Rural_Bank_View'!$E$10</f>
        <v>1406479.85</v>
      </c>
      <c r="F21" s="4">
        <f>'10_Rural_Bank_View'!$F$10</f>
        <v>2260973.09</v>
      </c>
      <c r="G21" s="4">
        <f>'10_Rural_Bank_View'!$G$10</f>
        <v>3162075.84</v>
      </c>
    </row>
    <row r="22" spans="1:7" x14ac:dyDescent="0.25">
      <c r="A22" s="3" t="s">
        <v>60</v>
      </c>
      <c r="B22" s="3" t="s">
        <v>485</v>
      </c>
      <c r="C22" s="4">
        <f>'11_ODTI_View'!$C$9</f>
        <v>850014.39</v>
      </c>
      <c r="D22" s="4">
        <f>'11_ODTI_View'!$D$9</f>
        <v>1559179.08</v>
      </c>
      <c r="E22" s="4">
        <f>'11_ODTI_View'!$E$9</f>
        <v>2588186.32</v>
      </c>
      <c r="F22" s="4">
        <f>'11_ODTI_View'!$F$9</f>
        <v>3922903.87</v>
      </c>
      <c r="G22" s="4">
        <f>'11_ODTI_View'!$G$9</f>
        <v>5285176.96</v>
      </c>
    </row>
    <row r="23" spans="1:7" x14ac:dyDescent="0.25">
      <c r="A23" s="3" t="s">
        <v>60</v>
      </c>
      <c r="B23" s="3" t="s">
        <v>486</v>
      </c>
      <c r="C23" s="4">
        <f>'12_DevOps_View'!$C$7</f>
        <v>710000</v>
      </c>
      <c r="D23" s="4">
        <f>'12_DevOps_View'!$D$7</f>
        <v>1240000</v>
      </c>
      <c r="E23" s="4">
        <f>'12_DevOps_View'!$E$7</f>
        <v>2010000</v>
      </c>
      <c r="F23" s="4">
        <f>'12_DevOps_View'!$F$7</f>
        <v>3000000</v>
      </c>
      <c r="G23" s="4">
        <f>'12_DevOps_View'!$G$7</f>
        <v>4000000</v>
      </c>
    </row>
    <row r="24" spans="1:7" x14ac:dyDescent="0.25">
      <c r="A24" s="3" t="s">
        <v>60</v>
      </c>
      <c r="B24" s="3" t="s">
        <v>470</v>
      </c>
      <c r="C24" s="4">
        <f>'14_Consolidated_View'!$C$11</f>
        <v>463527.7</v>
      </c>
      <c r="D24" s="4">
        <f>'14_Consolidated_View'!$D$11</f>
        <v>1085627.26</v>
      </c>
      <c r="E24" s="4">
        <f>'14_Consolidated_View'!$E$11</f>
        <v>1984666.18</v>
      </c>
      <c r="F24" s="4">
        <f>'14_Consolidated_View'!$F$11</f>
        <v>3183876.96</v>
      </c>
      <c r="G24" s="4">
        <f>'14_Consolidated_View'!$G$11</f>
        <v>4447252.8</v>
      </c>
    </row>
    <row r="25" spans="1:7" x14ac:dyDescent="0.25">
      <c r="A25" s="3" t="s">
        <v>60</v>
      </c>
      <c r="B25" s="3" t="s">
        <v>48</v>
      </c>
      <c r="C25" s="3" t="s">
        <v>487</v>
      </c>
      <c r="D25" s="3" t="s">
        <v>487</v>
      </c>
      <c r="E25" s="3" t="s">
        <v>487</v>
      </c>
      <c r="F25" s="3" t="s">
        <v>487</v>
      </c>
      <c r="G25" s="3" t="s">
        <v>487</v>
      </c>
    </row>
    <row r="26" spans="1:7" x14ac:dyDescent="0.25">
      <c r="A26" s="3" t="s">
        <v>60</v>
      </c>
      <c r="B26" s="3" t="s">
        <v>488</v>
      </c>
      <c r="C26" s="3" t="s">
        <v>489</v>
      </c>
      <c r="D26" s="3" t="s">
        <v>489</v>
      </c>
      <c r="E26" s="3" t="s">
        <v>489</v>
      </c>
      <c r="F26" s="3" t="s">
        <v>489</v>
      </c>
      <c r="G26" s="3" t="s">
        <v>489</v>
      </c>
    </row>
    <row r="27" spans="1:7" x14ac:dyDescent="0.25">
      <c r="A27" s="3" t="s">
        <v>60</v>
      </c>
      <c r="B27" s="3" t="s">
        <v>490</v>
      </c>
      <c r="C27" s="3" t="s">
        <v>491</v>
      </c>
      <c r="D27" s="3" t="s">
        <v>491</v>
      </c>
      <c r="E27" s="3" t="s">
        <v>491</v>
      </c>
      <c r="F27" s="3" t="s">
        <v>491</v>
      </c>
      <c r="G27" s="3" t="s">
        <v>491</v>
      </c>
    </row>
    <row r="28" spans="1:7" x14ac:dyDescent="0.25">
      <c r="A28" s="3" t="s">
        <v>60</v>
      </c>
      <c r="B28" s="3" t="s">
        <v>492</v>
      </c>
      <c r="C28" s="3" t="s">
        <v>493</v>
      </c>
      <c r="D28" s="3" t="s">
        <v>493</v>
      </c>
      <c r="E28" s="3" t="s">
        <v>493</v>
      </c>
      <c r="F28" s="3" t="s">
        <v>493</v>
      </c>
      <c r="G28" s="3" t="s">
        <v>493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4" width="42" customWidth="1"/>
    <col min="5" max="5" width="37" customWidth="1"/>
    <col min="6" max="6" width="25" customWidth="1"/>
    <col min="7" max="7" width="42" customWidth="1"/>
  </cols>
  <sheetData>
    <row r="1" spans="1:7" s="1" customFormat="1" x14ac:dyDescent="0.25">
      <c r="A1" s="2" t="s">
        <v>494</v>
      </c>
      <c r="B1" s="2" t="s">
        <v>495</v>
      </c>
      <c r="C1" s="2" t="s">
        <v>496</v>
      </c>
      <c r="D1" s="2" t="s">
        <v>497</v>
      </c>
      <c r="E1" s="2" t="s">
        <v>498</v>
      </c>
      <c r="F1" s="2" t="s">
        <v>206</v>
      </c>
      <c r="G1" s="2" t="s">
        <v>27</v>
      </c>
    </row>
    <row r="2" spans="1:7" x14ac:dyDescent="0.25">
      <c r="A2" s="3" t="s">
        <v>499</v>
      </c>
      <c r="B2" s="3" t="s">
        <v>500</v>
      </c>
      <c r="C2" s="3" t="s">
        <v>501</v>
      </c>
      <c r="D2" s="3" t="s">
        <v>502</v>
      </c>
      <c r="E2" s="4">
        <f>CHOOSE(MATCH('01_Control'!$B$2,{"Conservative","Base","Accelerated"},0),'14_Consolidated_View'!$G$3,'14_Consolidated_View'!$G$7,'14_Consolidated_View'!$G$11)</f>
        <v>234843.52</v>
      </c>
      <c r="F2" s="3" t="s">
        <v>503</v>
      </c>
      <c r="G2" s="3" t="s">
        <v>504</v>
      </c>
    </row>
    <row r="3" spans="1:7" x14ac:dyDescent="0.25">
      <c r="A3" s="3" t="s">
        <v>505</v>
      </c>
      <c r="B3" s="3" t="s">
        <v>506</v>
      </c>
      <c r="C3" s="3" t="s">
        <v>233</v>
      </c>
      <c r="D3" s="3" t="s">
        <v>507</v>
      </c>
      <c r="E3" s="4">
        <f>CHOOSE(MATCH('01_Control'!$B$2,{"Conservative","Base","Accelerated"},0),'14_Consolidated_View'!$G$2,'14_Consolidated_View'!$G$6,'14_Consolidated_View'!$G$10)</f>
        <v>1209024</v>
      </c>
      <c r="F3" s="3" t="s">
        <v>503</v>
      </c>
      <c r="G3" s="3" t="s">
        <v>508</v>
      </c>
    </row>
    <row r="4" spans="1:7" x14ac:dyDescent="0.25">
      <c r="A4" s="3" t="s">
        <v>509</v>
      </c>
      <c r="B4" s="3" t="s">
        <v>510</v>
      </c>
      <c r="C4" s="3" t="s">
        <v>210</v>
      </c>
      <c r="D4" s="3" t="s">
        <v>511</v>
      </c>
      <c r="E4" s="4">
        <f>CHOOSE(MATCH('01_Control'!$B$2,{"Conservative","Base","Accelerated"},0),'11_ODTI_View'!$G$3,'11_ODTI_View'!$G$6,'11_ODTI_View'!$G$9)</f>
        <v>1681175.68</v>
      </c>
      <c r="F4" s="3" t="s">
        <v>503</v>
      </c>
      <c r="G4" s="3" t="s">
        <v>512</v>
      </c>
    </row>
    <row r="5" spans="1:7" x14ac:dyDescent="0.25">
      <c r="A5" s="3" t="s">
        <v>513</v>
      </c>
      <c r="B5" s="3" t="s">
        <v>514</v>
      </c>
      <c r="C5" s="3" t="s">
        <v>210</v>
      </c>
      <c r="D5" s="3" t="s">
        <v>515</v>
      </c>
      <c r="E5" s="4">
        <f>CHOOSE(MATCH('01_Control'!$B$2,{"Conservative","Base","Accelerated"},0),'10_Rural_Bank_View'!$G$4,'10_Rural_Bank_View'!$G$7,'10_Rural_Bank_View'!$G$10)</f>
        <v>653667.84</v>
      </c>
      <c r="F5" s="3" t="s">
        <v>319</v>
      </c>
      <c r="G5" s="3" t="s">
        <v>516</v>
      </c>
    </row>
    <row r="6" spans="1:7" x14ac:dyDescent="0.25">
      <c r="A6" s="3" t="s">
        <v>517</v>
      </c>
      <c r="B6" s="3" t="s">
        <v>518</v>
      </c>
      <c r="C6" s="3" t="s">
        <v>500</v>
      </c>
      <c r="D6" s="3" t="s">
        <v>511</v>
      </c>
      <c r="E6" s="4">
        <f>CHOOSE(MATCH('01_Control'!$B$2,{"Conservative","Base","Accelerated"},0),'11_ODTI_View'!$G$3,'11_ODTI_View'!$G$6,'11_ODTI_View'!$G$9)</f>
        <v>1681175.68</v>
      </c>
      <c r="F6" s="3" t="s">
        <v>503</v>
      </c>
      <c r="G6" s="3" t="s">
        <v>519</v>
      </c>
    </row>
    <row r="7" spans="1:7" x14ac:dyDescent="0.25">
      <c r="A7" s="3" t="s">
        <v>520</v>
      </c>
      <c r="B7" s="3" t="s">
        <v>521</v>
      </c>
      <c r="C7" s="3" t="s">
        <v>500</v>
      </c>
      <c r="D7" s="3" t="s">
        <v>522</v>
      </c>
      <c r="E7" s="4">
        <f>CHOOSE(MATCH('01_Control'!$B$2,{"Conservative","Base","Accelerated"},0),'12_DevOps_View'!$G$3,'12_DevOps_View'!$G$5,'12_DevOps_View'!$G$7)</f>
        <v>1780000</v>
      </c>
      <c r="F7" s="3" t="s">
        <v>503</v>
      </c>
      <c r="G7" s="3" t="s">
        <v>523</v>
      </c>
    </row>
    <row r="8" spans="1:7" x14ac:dyDescent="0.25">
      <c r="A8" s="3" t="s">
        <v>524</v>
      </c>
      <c r="B8" s="3" t="s">
        <v>525</v>
      </c>
      <c r="C8" s="3" t="s">
        <v>526</v>
      </c>
      <c r="D8" s="3" t="s">
        <v>488</v>
      </c>
      <c r="E8" s="3" t="s">
        <v>49</v>
      </c>
      <c r="F8" s="6" t="s">
        <v>49</v>
      </c>
      <c r="G8" s="3" t="s">
        <v>527</v>
      </c>
    </row>
    <row r="9" spans="1:7" x14ac:dyDescent="0.25">
      <c r="A9" s="3" t="s">
        <v>528</v>
      </c>
      <c r="B9" s="3" t="s">
        <v>529</v>
      </c>
      <c r="C9" s="3" t="s">
        <v>460</v>
      </c>
      <c r="D9" s="3" t="s">
        <v>530</v>
      </c>
      <c r="E9" s="3" t="s">
        <v>49</v>
      </c>
      <c r="F9" s="6" t="s">
        <v>49</v>
      </c>
      <c r="G9" s="3" t="s">
        <v>531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42" customWidth="1"/>
    <col min="2" max="3" width="21" customWidth="1"/>
    <col min="4" max="5" width="13" customWidth="1"/>
    <col min="6" max="7" width="20" customWidth="1"/>
    <col min="8" max="8" width="42" customWidth="1"/>
  </cols>
  <sheetData>
    <row r="1" spans="1:8" s="1" customFormat="1" x14ac:dyDescent="0.25">
      <c r="A1" s="2" t="s">
        <v>228</v>
      </c>
      <c r="B1" s="2" t="s">
        <v>532</v>
      </c>
      <c r="C1" s="2" t="s">
        <v>533</v>
      </c>
      <c r="D1" s="2" t="s">
        <v>534</v>
      </c>
      <c r="E1" s="2" t="s">
        <v>535</v>
      </c>
      <c r="F1" s="2" t="s">
        <v>536</v>
      </c>
      <c r="G1" s="2" t="s">
        <v>537</v>
      </c>
      <c r="H1" s="2" t="s">
        <v>538</v>
      </c>
    </row>
    <row r="2" spans="1:8" x14ac:dyDescent="0.25">
      <c r="A2" s="3" t="s">
        <v>231</v>
      </c>
      <c r="B2" s="4">
        <f>'04_Adoption'!$C$4</f>
        <v>1</v>
      </c>
      <c r="C2" s="4">
        <f>'04_Adoption'!$G$4</f>
        <v>12</v>
      </c>
      <c r="D2" s="4">
        <f>'04_Adoption'!$C$10</f>
        <v>3</v>
      </c>
      <c r="E2" s="4">
        <f>'04_Adoption'!$G$10</f>
        <v>32</v>
      </c>
      <c r="F2" s="4">
        <f>'04_Adoption'!$C$16</f>
        <v>7</v>
      </c>
      <c r="G2" s="4">
        <f>'04_Adoption'!$G$16</f>
        <v>60</v>
      </c>
      <c r="H2" s="3" t="s">
        <v>539</v>
      </c>
    </row>
    <row r="3" spans="1:8" x14ac:dyDescent="0.25">
      <c r="A3" s="3" t="s">
        <v>233</v>
      </c>
      <c r="B3" s="4">
        <f>'04_Adoption'!$C$6</f>
        <v>2</v>
      </c>
      <c r="C3" s="4">
        <f>'04_Adoption'!$G$6</f>
        <v>24</v>
      </c>
      <c r="D3" s="4">
        <f>'04_Adoption'!$C$12</f>
        <v>12</v>
      </c>
      <c r="E3" s="4">
        <f>'04_Adoption'!$G$12</f>
        <v>128</v>
      </c>
      <c r="F3" s="4">
        <f>'04_Adoption'!$C$18</f>
        <v>42</v>
      </c>
      <c r="G3" s="4">
        <f>'04_Adoption'!$G$18</f>
        <v>360</v>
      </c>
      <c r="H3" s="3" t="s">
        <v>540</v>
      </c>
    </row>
    <row r="4" spans="1:8" x14ac:dyDescent="0.25">
      <c r="A4" s="3" t="s">
        <v>210</v>
      </c>
      <c r="B4" s="4">
        <f>'05_Payroll_Activity'!$C$3</f>
        <v>147.20000000000002</v>
      </c>
      <c r="C4" s="4">
        <f>'05_Payroll_Activity'!$G$3</f>
        <v>3532.8</v>
      </c>
      <c r="D4" s="4">
        <f>'05_Payroll_Activity'!$C$6</f>
        <v>4032</v>
      </c>
      <c r="E4" s="4">
        <f>'05_Payroll_Activity'!$G$6</f>
        <v>86016</v>
      </c>
      <c r="F4" s="4">
        <f>'05_Payroll_Activity'!$C$9</f>
        <v>29635.2</v>
      </c>
      <c r="G4" s="4">
        <f>'05_Payroll_Activity'!$G$9</f>
        <v>423360</v>
      </c>
      <c r="H4" s="3" t="s">
        <v>541</v>
      </c>
    </row>
    <row r="5" spans="1:8" x14ac:dyDescent="0.25">
      <c r="A5" s="3" t="s">
        <v>542</v>
      </c>
      <c r="B5" s="4">
        <f>'14_Consolidated_View'!$C$2</f>
        <v>8547.2</v>
      </c>
      <c r="C5" s="4">
        <f>'14_Consolidated_View'!$G$2</f>
        <v>76132.8</v>
      </c>
      <c r="D5" s="4">
        <f>'14_Consolidated_View'!$C$6</f>
        <v>111048</v>
      </c>
      <c r="E5" s="4">
        <f>'14_Consolidated_View'!$G$6</f>
        <v>1209024</v>
      </c>
      <c r="F5" s="4">
        <f>'14_Consolidated_View'!$C$10</f>
        <v>674270.4</v>
      </c>
      <c r="G5" s="4">
        <f>'14_Consolidated_View'!$G$10</f>
        <v>5946720</v>
      </c>
      <c r="H5" s="3" t="s">
        <v>543</v>
      </c>
    </row>
    <row r="6" spans="1:8" x14ac:dyDescent="0.25">
      <c r="A6" s="3" t="s">
        <v>544</v>
      </c>
      <c r="B6" s="4">
        <f>'14_Consolidated_View'!$C$3</f>
        <v>-43880.16</v>
      </c>
      <c r="C6" s="4">
        <f>'14_Consolidated_View'!$G$3</f>
        <v>-315673.84</v>
      </c>
      <c r="D6" s="4">
        <f>'14_Consolidated_View'!$C$7</f>
        <v>-3672.96</v>
      </c>
      <c r="E6" s="4">
        <f>'14_Consolidated_View'!$G$7</f>
        <v>234843.52</v>
      </c>
      <c r="F6" s="4">
        <f>'14_Consolidated_View'!$C$11</f>
        <v>463527.7</v>
      </c>
      <c r="G6" s="4">
        <f>'14_Consolidated_View'!$G$11</f>
        <v>4447252.8</v>
      </c>
      <c r="H6" s="3" t="s">
        <v>519</v>
      </c>
    </row>
    <row r="7" spans="1:8" x14ac:dyDescent="0.25">
      <c r="A7" s="3" t="s">
        <v>464</v>
      </c>
      <c r="B7" s="4">
        <f>'10_Rural_Bank_View'!$C$4</f>
        <v>3703.94</v>
      </c>
      <c r="C7" s="4">
        <f>'10_Rural_Bank_View'!$G$4</f>
        <v>39874.46</v>
      </c>
      <c r="D7" s="4">
        <f>'10_Rural_Bank_View'!$C$7</f>
        <v>51955.68</v>
      </c>
      <c r="E7" s="4">
        <f>'10_Rural_Bank_View'!$G$7</f>
        <v>653667.84</v>
      </c>
      <c r="F7" s="4">
        <f>'10_Rural_Bank_View'!$C$10</f>
        <v>323513.31</v>
      </c>
      <c r="G7" s="4">
        <f>'10_Rural_Bank_View'!$G$10</f>
        <v>3162075.84</v>
      </c>
      <c r="H7" s="3" t="s">
        <v>545</v>
      </c>
    </row>
    <row r="8" spans="1:8" x14ac:dyDescent="0.25">
      <c r="A8" s="3" t="s">
        <v>546</v>
      </c>
      <c r="B8" s="4">
        <f>'11_ODTI_View'!$C$3</f>
        <v>72415.9</v>
      </c>
      <c r="C8" s="4">
        <f>'11_ODTI_View'!$G$3</f>
        <v>374451.7</v>
      </c>
      <c r="D8" s="4">
        <f>'11_ODTI_View'!$C$6</f>
        <v>269371.36</v>
      </c>
      <c r="E8" s="4">
        <f>'11_ODTI_View'!$G$6</f>
        <v>1681175.68</v>
      </c>
      <c r="F8" s="4">
        <f>'11_ODTI_View'!$C$9</f>
        <v>850014.39</v>
      </c>
      <c r="G8" s="4">
        <f>'11_ODTI_View'!$G$9</f>
        <v>5285176.96</v>
      </c>
      <c r="H8" s="3" t="s">
        <v>547</v>
      </c>
    </row>
    <row r="9" spans="1:8" x14ac:dyDescent="0.25">
      <c r="A9" s="3" t="s">
        <v>548</v>
      </c>
      <c r="B9" s="4">
        <f>'12_DevOps_View'!$C$3</f>
        <v>108000</v>
      </c>
      <c r="C9" s="4">
        <f>'12_DevOps_View'!$G$3</f>
        <v>442000</v>
      </c>
      <c r="D9" s="4">
        <f>'12_DevOps_View'!$C$5</f>
        <v>310000</v>
      </c>
      <c r="E9" s="4">
        <f>'12_DevOps_View'!$G$5</f>
        <v>1780000</v>
      </c>
      <c r="F9" s="4">
        <f>'12_DevOps_View'!$C$7</f>
        <v>710000</v>
      </c>
      <c r="G9" s="4">
        <f>'12_DevOps_View'!$G$7</f>
        <v>4000000</v>
      </c>
      <c r="H9" s="3" t="s">
        <v>549</v>
      </c>
    </row>
    <row r="10" spans="1:8" x14ac:dyDescent="0.25">
      <c r="A10" s="3" t="s">
        <v>550</v>
      </c>
      <c r="B10" s="4">
        <f>'13_SMS_Variant'!$C$6</f>
        <v>8.28</v>
      </c>
      <c r="C10" s="4">
        <f>'13_SMS_Variant'!$G$6</f>
        <v>198.72</v>
      </c>
      <c r="D10" s="4">
        <f>'13_SMS_Variant'!$C$11</f>
        <v>919.3</v>
      </c>
      <c r="E10" s="4">
        <f>'13_SMS_Variant'!$G$11</f>
        <v>19611.65</v>
      </c>
      <c r="F10" s="4">
        <f>'13_SMS_Variant'!$C$16</f>
        <v>11872.16</v>
      </c>
      <c r="G10" s="4">
        <f>'13_SMS_Variant'!$G$16</f>
        <v>169602.25</v>
      </c>
      <c r="H10" s="3" t="s">
        <v>551</v>
      </c>
    </row>
    <row r="11" spans="1:8" x14ac:dyDescent="0.25">
      <c r="A11" s="3" t="s">
        <v>552</v>
      </c>
      <c r="B11" s="3" t="s">
        <v>49</v>
      </c>
      <c r="C11" s="3" t="s">
        <v>49</v>
      </c>
      <c r="D11" s="3" t="s">
        <v>49</v>
      </c>
      <c r="E11" s="3" t="s">
        <v>49</v>
      </c>
      <c r="F11" s="3" t="s">
        <v>49</v>
      </c>
      <c r="G11" s="3" t="s">
        <v>49</v>
      </c>
      <c r="H11" s="3" t="s">
        <v>553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42" customWidth="1"/>
    <col min="2" max="2" width="25" customWidth="1"/>
    <col min="3" max="3" width="42" customWidth="1"/>
    <col min="4" max="4" width="17" customWidth="1"/>
    <col min="5" max="5" width="42" customWidth="1"/>
  </cols>
  <sheetData>
    <row r="1" spans="1:5" s="1" customFormat="1" x14ac:dyDescent="0.25">
      <c r="A1" s="2" t="s">
        <v>554</v>
      </c>
      <c r="B1" s="2" t="s">
        <v>555</v>
      </c>
      <c r="C1" s="2" t="s">
        <v>65</v>
      </c>
      <c r="D1" s="2" t="s">
        <v>206</v>
      </c>
      <c r="E1" s="2" t="s">
        <v>27</v>
      </c>
    </row>
    <row r="2" spans="1:5" x14ac:dyDescent="0.25">
      <c r="A2" s="3" t="s">
        <v>28</v>
      </c>
      <c r="B2" s="3" t="str">
        <f>'01_Control'!$B$2</f>
        <v>Base</v>
      </c>
      <c r="C2" s="3" t="s">
        <v>18</v>
      </c>
      <c r="D2" s="5" t="s">
        <v>243</v>
      </c>
      <c r="E2" s="3" t="s">
        <v>556</v>
      </c>
    </row>
    <row r="3" spans="1:5" x14ac:dyDescent="0.25">
      <c r="A3" s="3" t="s">
        <v>557</v>
      </c>
      <c r="B3" s="4">
        <f>CHOOSE(MATCH('01_Control'!$B$2,{"Conservative","Base","Accelerated"},0),'04_Adoption'!$G$4,'04_Adoption'!$G$10,'04_Adoption'!$G$16)</f>
        <v>32</v>
      </c>
      <c r="C3" s="3" t="s">
        <v>558</v>
      </c>
      <c r="D3" s="5" t="s">
        <v>243</v>
      </c>
      <c r="E3" s="3" t="s">
        <v>559</v>
      </c>
    </row>
    <row r="4" spans="1:5" x14ac:dyDescent="0.25">
      <c r="A4" s="3" t="s">
        <v>560</v>
      </c>
      <c r="B4" s="4">
        <f>CHOOSE(MATCH('01_Control'!$B$2,{"Conservative","Base","Accelerated"},0),'04_Adoption'!$G$6,'04_Adoption'!$G$12,'04_Adoption'!$G$18)</f>
        <v>128</v>
      </c>
      <c r="C4" s="3" t="s">
        <v>561</v>
      </c>
      <c r="D4" s="5" t="s">
        <v>243</v>
      </c>
      <c r="E4" s="3" t="s">
        <v>562</v>
      </c>
    </row>
    <row r="5" spans="1:5" x14ac:dyDescent="0.25">
      <c r="A5" s="3" t="s">
        <v>563</v>
      </c>
      <c r="B5" s="4">
        <f>CHOOSE(MATCH('01_Control'!$B$2,{"Conservative","Base","Accelerated"},0),'05_Payroll_Activity'!$G$3,'05_Payroll_Activity'!$G$6,'05_Payroll_Activity'!$G$9)</f>
        <v>86016</v>
      </c>
      <c r="C5" s="3" t="s">
        <v>564</v>
      </c>
      <c r="D5" s="5" t="s">
        <v>243</v>
      </c>
      <c r="E5" s="3" t="s">
        <v>565</v>
      </c>
    </row>
    <row r="6" spans="1:5" x14ac:dyDescent="0.25">
      <c r="A6" s="3" t="s">
        <v>566</v>
      </c>
      <c r="B6" s="4">
        <f>CHOOSE(MATCH('01_Control'!$B$2,{"Conservative","Base","Accelerated"},0),'14_Consolidated_View'!$G$2,'14_Consolidated_View'!$G$6,'14_Consolidated_View'!$G$10)</f>
        <v>1209024</v>
      </c>
      <c r="C6" s="3" t="s">
        <v>567</v>
      </c>
      <c r="D6" s="5" t="s">
        <v>243</v>
      </c>
      <c r="E6" s="3" t="s">
        <v>568</v>
      </c>
    </row>
    <row r="7" spans="1:5" x14ac:dyDescent="0.25">
      <c r="A7" s="3" t="s">
        <v>569</v>
      </c>
      <c r="B7" s="4">
        <f>CHOOSE(MATCH('01_Control'!$B$2,{"Conservative","Base","Accelerated"},0),'14_Consolidated_View'!$G$3,'14_Consolidated_View'!$G$7,'14_Consolidated_View'!$G$11)</f>
        <v>234843.52</v>
      </c>
      <c r="C7" s="3" t="s">
        <v>567</v>
      </c>
      <c r="D7" s="5" t="s">
        <v>243</v>
      </c>
      <c r="E7" s="3" t="s">
        <v>519</v>
      </c>
    </row>
    <row r="8" spans="1:5" x14ac:dyDescent="0.25">
      <c r="A8" s="3" t="s">
        <v>570</v>
      </c>
      <c r="B8" s="4">
        <f>CHOOSE(MATCH('01_Control'!$B$2,{"Conservative","Base","Accelerated"},0),'10_Rural_Bank_View'!$G$4,'10_Rural_Bank_View'!$G$7,'10_Rural_Bank_View'!$G$10)</f>
        <v>653667.84</v>
      </c>
      <c r="C8" s="3" t="s">
        <v>571</v>
      </c>
      <c r="D8" s="3" t="s">
        <v>319</v>
      </c>
      <c r="E8" s="3" t="s">
        <v>516</v>
      </c>
    </row>
    <row r="9" spans="1:5" x14ac:dyDescent="0.25">
      <c r="A9" s="3" t="s">
        <v>572</v>
      </c>
      <c r="B9" s="4">
        <f>CHOOSE(MATCH('01_Control'!$B$2,{"Conservative","Base","Accelerated"},0),'11_ODTI_View'!$G$3,'11_ODTI_View'!$G$6,'11_ODTI_View'!$G$9)</f>
        <v>1681175.68</v>
      </c>
      <c r="C9" s="3" t="s">
        <v>573</v>
      </c>
      <c r="D9" s="3" t="s">
        <v>319</v>
      </c>
      <c r="E9" s="3" t="s">
        <v>519</v>
      </c>
    </row>
    <row r="10" spans="1:5" x14ac:dyDescent="0.25">
      <c r="A10" s="3" t="s">
        <v>574</v>
      </c>
      <c r="B10" s="4">
        <f>CHOOSE(MATCH('01_Control'!$B$2,{"Conservative","Base","Accelerated"},0),'12_DevOps_View'!$G$3,'12_DevOps_View'!$G$5,'12_DevOps_View'!$G$7)</f>
        <v>1780000</v>
      </c>
      <c r="C10" s="3" t="s">
        <v>575</v>
      </c>
      <c r="D10" s="5" t="s">
        <v>243</v>
      </c>
      <c r="E10" s="3" t="s">
        <v>576</v>
      </c>
    </row>
    <row r="11" spans="1:5" x14ac:dyDescent="0.25">
      <c r="A11" s="3" t="s">
        <v>577</v>
      </c>
      <c r="B11" s="4">
        <f>CHOOSE(MATCH('01_Control'!$B$2,{"Conservative","Base","Accelerated"},0),'13_SMS_Variant'!$G$6,'13_SMS_Variant'!$G$11,'13_SMS_Variant'!$G$16)</f>
        <v>19611.65</v>
      </c>
      <c r="C11" s="3" t="s">
        <v>578</v>
      </c>
      <c r="D11" s="3" t="s">
        <v>579</v>
      </c>
      <c r="E11" s="3" t="s">
        <v>580</v>
      </c>
    </row>
    <row r="12" spans="1:5" x14ac:dyDescent="0.25">
      <c r="A12" s="3" t="s">
        <v>581</v>
      </c>
      <c r="B12" s="4">
        <f>CHOOSE(MATCH('01_Control'!$B$2,{"Conservative","Base","Accelerated"},0),'14_Consolidated_View'!$G$3,'14_Consolidated_View'!$G$7,'14_Consolidated_View'!$G$11)-CHOOSE(MATCH('01_Control'!$B$2,{"Conservative","Base","Accelerated"},0),'09_Operating_Expenses'!$G$10,'09_Operating_Expenses'!$G$20,'09_Operating_Expenses'!$G$30)</f>
        <v>-6025156.48</v>
      </c>
      <c r="C12" s="3" t="s">
        <v>582</v>
      </c>
      <c r="D12" s="3" t="s">
        <v>583</v>
      </c>
      <c r="E12" s="3" t="s">
        <v>584</v>
      </c>
    </row>
    <row r="13" spans="1:5" x14ac:dyDescent="0.25">
      <c r="A13" s="3" t="s">
        <v>585</v>
      </c>
      <c r="B13" s="4">
        <v>11</v>
      </c>
      <c r="C13" s="3" t="s">
        <v>586</v>
      </c>
      <c r="D13" s="3" t="s">
        <v>587</v>
      </c>
      <c r="E13" s="3" t="s">
        <v>588</v>
      </c>
    </row>
    <row r="14" spans="1:5" x14ac:dyDescent="0.25">
      <c r="A14" s="3" t="s">
        <v>589</v>
      </c>
      <c r="B14" s="3">
        <f>COUNTIF('21_Checks'!$E$2:$E$200,"ERROR")</f>
        <v>0</v>
      </c>
      <c r="C14" s="3" t="s">
        <v>23</v>
      </c>
      <c r="D14" s="5" t="s">
        <v>243</v>
      </c>
      <c r="E14" s="3" t="s">
        <v>590</v>
      </c>
    </row>
    <row r="15" spans="1:5" x14ac:dyDescent="0.25">
      <c r="A15" s="3" t="s">
        <v>552</v>
      </c>
      <c r="B15" s="3" t="s">
        <v>49</v>
      </c>
      <c r="C15" s="3" t="s">
        <v>328</v>
      </c>
      <c r="D15" s="6" t="s">
        <v>49</v>
      </c>
      <c r="E15" s="3" t="s">
        <v>591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36" customWidth="1"/>
    <col min="2" max="5" width="42" customWidth="1"/>
    <col min="6" max="6" width="34" customWidth="1"/>
  </cols>
  <sheetData>
    <row r="1" spans="1:6" s="1" customFormat="1" x14ac:dyDescent="0.25">
      <c r="A1" s="2" t="s">
        <v>592</v>
      </c>
      <c r="B1" s="2" t="s">
        <v>593</v>
      </c>
      <c r="C1" s="2" t="s">
        <v>594</v>
      </c>
      <c r="D1" s="2" t="s">
        <v>595</v>
      </c>
      <c r="E1" s="2" t="s">
        <v>596</v>
      </c>
      <c r="F1" s="2" t="s">
        <v>206</v>
      </c>
    </row>
    <row r="2" spans="1:6" x14ac:dyDescent="0.25">
      <c r="A2" s="3" t="s">
        <v>597</v>
      </c>
      <c r="B2" s="3" t="s">
        <v>598</v>
      </c>
      <c r="C2" s="3" t="s">
        <v>9</v>
      </c>
      <c r="D2" s="3" t="s">
        <v>599</v>
      </c>
      <c r="E2" s="3" t="s">
        <v>600</v>
      </c>
      <c r="F2" s="3" t="s">
        <v>70</v>
      </c>
    </row>
    <row r="3" spans="1:6" x14ac:dyDescent="0.25">
      <c r="A3" s="3" t="s">
        <v>601</v>
      </c>
      <c r="B3" s="3" t="s">
        <v>602</v>
      </c>
      <c r="C3" s="3" t="s">
        <v>9</v>
      </c>
      <c r="D3" s="3" t="s">
        <v>603</v>
      </c>
      <c r="E3" s="3" t="s">
        <v>604</v>
      </c>
      <c r="F3" s="3" t="s">
        <v>605</v>
      </c>
    </row>
    <row r="4" spans="1:6" x14ac:dyDescent="0.25">
      <c r="A4" s="3" t="s">
        <v>606</v>
      </c>
      <c r="B4" s="3" t="s">
        <v>607</v>
      </c>
      <c r="C4" s="3" t="s">
        <v>9</v>
      </c>
      <c r="D4" s="3" t="s">
        <v>608</v>
      </c>
      <c r="E4" s="3" t="s">
        <v>609</v>
      </c>
      <c r="F4" s="3" t="s">
        <v>70</v>
      </c>
    </row>
    <row r="5" spans="1:6" x14ac:dyDescent="0.25">
      <c r="A5" s="3" t="s">
        <v>610</v>
      </c>
      <c r="B5" s="3" t="s">
        <v>124</v>
      </c>
      <c r="C5" s="3" t="s">
        <v>129</v>
      </c>
      <c r="D5" s="3" t="s">
        <v>611</v>
      </c>
      <c r="E5" s="3" t="s">
        <v>612</v>
      </c>
      <c r="F5" s="3" t="s">
        <v>613</v>
      </c>
    </row>
    <row r="6" spans="1:6" x14ac:dyDescent="0.25">
      <c r="A6" s="3" t="s">
        <v>614</v>
      </c>
      <c r="B6" s="3" t="s">
        <v>615</v>
      </c>
      <c r="C6" s="3" t="s">
        <v>11</v>
      </c>
      <c r="D6" s="3" t="s">
        <v>616</v>
      </c>
      <c r="E6" s="3" t="s">
        <v>617</v>
      </c>
      <c r="F6" s="3" t="s">
        <v>618</v>
      </c>
    </row>
    <row r="7" spans="1:6" x14ac:dyDescent="0.25">
      <c r="A7" s="3" t="s">
        <v>619</v>
      </c>
      <c r="B7" s="3" t="s">
        <v>620</v>
      </c>
      <c r="C7" s="3" t="s">
        <v>11</v>
      </c>
      <c r="D7" s="3" t="s">
        <v>621</v>
      </c>
      <c r="E7" s="3" t="s">
        <v>622</v>
      </c>
      <c r="F7" s="3" t="s">
        <v>618</v>
      </c>
    </row>
    <row r="8" spans="1:6" x14ac:dyDescent="0.25">
      <c r="A8" s="3" t="s">
        <v>623</v>
      </c>
      <c r="B8" s="3" t="s">
        <v>624</v>
      </c>
      <c r="C8" s="3" t="s">
        <v>11</v>
      </c>
      <c r="D8" s="3" t="s">
        <v>625</v>
      </c>
      <c r="E8" s="3" t="s">
        <v>626</v>
      </c>
      <c r="F8" s="3" t="s">
        <v>70</v>
      </c>
    </row>
    <row r="9" spans="1:6" x14ac:dyDescent="0.25">
      <c r="A9" s="3" t="s">
        <v>627</v>
      </c>
      <c r="B9" s="3" t="s">
        <v>628</v>
      </c>
      <c r="C9" s="3" t="s">
        <v>11</v>
      </c>
      <c r="D9" s="3" t="s">
        <v>578</v>
      </c>
      <c r="E9" s="3" t="s">
        <v>629</v>
      </c>
      <c r="F9" s="3" t="s">
        <v>630</v>
      </c>
    </row>
    <row r="10" spans="1:6" x14ac:dyDescent="0.25">
      <c r="A10" s="3" t="s">
        <v>469</v>
      </c>
      <c r="B10" s="3" t="s">
        <v>631</v>
      </c>
      <c r="C10" s="3" t="s">
        <v>13</v>
      </c>
      <c r="D10" s="3" t="s">
        <v>632</v>
      </c>
      <c r="E10" s="3" t="s">
        <v>633</v>
      </c>
      <c r="F10" s="3" t="s">
        <v>70</v>
      </c>
    </row>
    <row r="11" spans="1:6" x14ac:dyDescent="0.25">
      <c r="A11" s="3" t="s">
        <v>634</v>
      </c>
      <c r="B11" s="3" t="s">
        <v>635</v>
      </c>
      <c r="C11" s="3" t="s">
        <v>15</v>
      </c>
      <c r="D11" s="3" t="s">
        <v>636</v>
      </c>
      <c r="E11" s="3" t="s">
        <v>637</v>
      </c>
      <c r="F11" s="3" t="s">
        <v>618</v>
      </c>
    </row>
    <row r="12" spans="1:6" x14ac:dyDescent="0.25">
      <c r="A12" s="3" t="s">
        <v>638</v>
      </c>
      <c r="B12" s="3" t="s">
        <v>639</v>
      </c>
      <c r="C12" s="3" t="s">
        <v>15</v>
      </c>
      <c r="D12" s="3" t="s">
        <v>318</v>
      </c>
      <c r="E12" s="3" t="s">
        <v>287</v>
      </c>
      <c r="F12" s="3" t="s">
        <v>640</v>
      </c>
    </row>
    <row r="13" spans="1:6" x14ac:dyDescent="0.25">
      <c r="A13" s="3" t="s">
        <v>641</v>
      </c>
      <c r="B13" s="3" t="s">
        <v>642</v>
      </c>
      <c r="C13" s="3" t="s">
        <v>15</v>
      </c>
      <c r="D13" s="3" t="s">
        <v>322</v>
      </c>
      <c r="E13" s="3" t="s">
        <v>643</v>
      </c>
      <c r="F13" s="3" t="s">
        <v>644</v>
      </c>
    </row>
    <row r="14" spans="1:6" x14ac:dyDescent="0.25">
      <c r="A14" s="3" t="s">
        <v>645</v>
      </c>
      <c r="B14" s="3" t="s">
        <v>646</v>
      </c>
      <c r="C14" s="3" t="s">
        <v>15</v>
      </c>
      <c r="D14" s="3" t="s">
        <v>328</v>
      </c>
      <c r="E14" s="3" t="s">
        <v>647</v>
      </c>
      <c r="F14" s="6" t="s">
        <v>49</v>
      </c>
    </row>
    <row r="15" spans="1:6" x14ac:dyDescent="0.25">
      <c r="A15" s="3" t="s">
        <v>648</v>
      </c>
      <c r="B15" s="3" t="s">
        <v>649</v>
      </c>
      <c r="C15" s="3" t="s">
        <v>15</v>
      </c>
      <c r="D15" s="3" t="s">
        <v>341</v>
      </c>
      <c r="E15" s="3" t="s">
        <v>650</v>
      </c>
      <c r="F15" s="3" t="s">
        <v>651</v>
      </c>
    </row>
    <row r="16" spans="1:6" x14ac:dyDescent="0.25">
      <c r="A16" s="3" t="s">
        <v>652</v>
      </c>
      <c r="B16" s="3" t="s">
        <v>653</v>
      </c>
      <c r="C16" s="3" t="s">
        <v>9</v>
      </c>
      <c r="D16" s="3" t="s">
        <v>654</v>
      </c>
      <c r="E16" s="3" t="s">
        <v>655</v>
      </c>
      <c r="F16" s="3" t="s">
        <v>183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00_Read_Me</vt:lpstr>
      <vt:lpstr>01_Control</vt:lpstr>
      <vt:lpstr>02_Assumptions</vt:lpstr>
      <vt:lpstr>03_Assumption_Map</vt:lpstr>
      <vt:lpstr>04_Adoption</vt:lpstr>
      <vt:lpstr>05_Payroll_Activity</vt:lpstr>
      <vt:lpstr>21_Checks</vt:lpstr>
      <vt:lpstr>06_Pricing</vt:lpstr>
      <vt:lpstr>07_Revenue</vt:lpstr>
      <vt:lpstr>10_Rural_Bank_View</vt:lpstr>
      <vt:lpstr>11_ODTI_View</vt:lpstr>
      <vt:lpstr>12_DevOps_View</vt:lpstr>
      <vt:lpstr>13_SMS_Variant</vt:lpstr>
      <vt:lpstr>14_Consolidated_View</vt:lpstr>
      <vt:lpstr>08_Cost_of_Sales</vt:lpstr>
      <vt:lpstr>09_Operating_Expenses</vt:lpstr>
      <vt:lpstr>15_Profit_and_Loss</vt:lpstr>
      <vt:lpstr>16_Cash_Flow</vt:lpstr>
      <vt:lpstr>17_Capital_Budgeting</vt:lpstr>
      <vt:lpstr>18_Sensitivity</vt:lpstr>
      <vt:lpstr>19_Scenarios</vt:lpstr>
      <vt:lpstr>20_Dashboard</vt:lpstr>
      <vt:lpstr>22_Source_Lineage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x-commerce finance artifact generator</dc:creator>
  <dc:title/>
  <dc:subject/>
  <dc:description/>
  <cp:keywords/>
  <cp:category/>
  <cp:lastModifiedBy>Unknown</cp:lastModifiedBy>
  <dcterms:created xsi:type="dcterms:W3CDTF">2026-07-13T00:00:00Z</dcterms:created>
  <dcterms:modified xsi:type="dcterms:W3CDTF">2026-07-13T00:00:00Z</dcterms:modified>
</cp:coreProperties>
</file>